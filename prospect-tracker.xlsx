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cts" sheetId="1" state="visible" r:id="rId1"/>
    <sheet xmlns:r="http://schemas.openxmlformats.org/officeDocument/2006/relationships" name="Summary" sheetId="2" state="visible" r:id="rId2"/>
    <sheet xmlns:r="http://schemas.openxmlformats.org/officeDocument/2006/relationships" name="Skipped (Reference)" sheetId="3" state="visible" r:id="rId3"/>
    <sheet xmlns:r="http://schemas.openxmlformats.org/officeDocument/2006/relationships" name="L&amp;I Goldmine" sheetId="4" state="visible" r:id="rId4"/>
  </sheets>
  <definedNames>
    <definedName name="_xlnm._FilterDatabase" localSheetId="0" hidden="1">'Prospects'!$A$1:$M$28</definedName>
    <definedName name="_xlnm._FilterDatabase" localSheetId="2" hidden="1">'Skipped (Reference)'!$A$1:$M$89</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Cambria"/>
      <charset val="1"/>
      <family val="0"/>
      <b val="1"/>
      <color rgb="FFFFFFFF"/>
      <sz val="11"/>
    </font>
    <font>
      <name val="Arial"/>
      <charset val="1"/>
      <family val="0"/>
      <sz val="10"/>
    </font>
    <font>
      <name val="Arial"/>
      <charset val="1"/>
      <family val="0"/>
      <b val="1"/>
      <sz val="10"/>
    </font>
    <font>
      <name val="Arial"/>
      <charset val="1"/>
      <family val="0"/>
      <sz val="11"/>
    </font>
    <font>
      <name val="Arial"/>
      <charset val="1"/>
      <family val="0"/>
      <b val="1"/>
      <sz val="11"/>
    </font>
    <font>
      <name val="Arial"/>
      <charset val="1"/>
      <family val="0"/>
      <i val="1"/>
      <sz val="10"/>
    </font>
    <font>
      <name val="Arial"/>
      <charset val="1"/>
      <family val="0"/>
      <b val="1"/>
      <sz val="12"/>
    </font>
  </fonts>
  <fills count="11">
    <fill>
      <patternFill/>
    </fill>
    <fill>
      <patternFill patternType="gray125"/>
    </fill>
    <fill>
      <patternFill patternType="solid">
        <fgColor rgb="FF1F2937"/>
        <bgColor rgb="FF333300"/>
      </patternFill>
    </fill>
    <fill>
      <patternFill patternType="solid">
        <fgColor rgb="FFFDE68A"/>
        <bgColor rgb="FFFFCC99"/>
      </patternFill>
    </fill>
    <fill>
      <patternFill patternType="solid">
        <fgColor rgb="FFFCA5A5"/>
        <bgColor rgb="FFFFCC99"/>
      </patternFill>
    </fill>
    <fill>
      <patternFill patternType="solid">
        <fgColor rgb="FFBFDBFE"/>
        <bgColor rgb="FFD1D5DB"/>
      </patternFill>
    </fill>
    <fill>
      <patternFill patternType="solid">
        <fgColor rgb="FFE5E7EB"/>
        <bgColor rgb="FFD1D5DB"/>
      </patternFill>
    </fill>
    <fill>
      <patternFill patternType="solid">
        <fgColor rgb="FFFCA5A5"/>
        <bgColor rgb="FFFCA5A5"/>
      </patternFill>
    </fill>
    <fill>
      <patternFill patternType="solid">
        <fgColor rgb="FFFDE68A"/>
        <bgColor rgb="FFFDE68A"/>
      </patternFill>
    </fill>
    <fill>
      <patternFill patternType="solid">
        <fgColor rgb="FFE5E7EB"/>
        <bgColor rgb="FFE5E7EB"/>
      </patternFill>
    </fill>
    <fill>
      <patternFill patternType="solid">
        <fgColor rgb="FFBFDBFE"/>
        <bgColor rgb="FFBFDBF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2" borderId="0" applyAlignment="1" pivotButton="0" quotePrefix="0" xfId="0">
      <alignment horizontal="general" vertical="bottom"/>
    </xf>
    <xf numFmtId="0" fontId="6" fillId="0"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0" fillId="4" borderId="0" applyAlignment="1" pivotButton="0" quotePrefix="0" xfId="0">
      <alignment horizontal="general" vertical="top" wrapText="1"/>
    </xf>
    <xf numFmtId="0" fontId="0" fillId="3" borderId="0" applyAlignment="1" pivotButton="0" quotePrefix="0" xfId="0">
      <alignment horizontal="general" vertical="top" wrapText="1"/>
    </xf>
    <xf numFmtId="0" fontId="0" fillId="5" borderId="0" applyAlignment="1" pivotButton="0" quotePrefix="0" xfId="0">
      <alignment horizontal="general" vertical="top" wrapText="1"/>
    </xf>
    <xf numFmtId="0" fontId="4" fillId="2" borderId="0" applyAlignment="1" pivotButton="0" quotePrefix="0" xfId="0">
      <alignment horizontal="center" vertical="bottom"/>
    </xf>
    <xf numFmtId="0" fontId="8" fillId="0" borderId="0" applyAlignment="1" pivotButton="0" quotePrefix="0" xfId="0">
      <alignment horizontal="general" vertical="bottom"/>
    </xf>
    <xf numFmtId="0" fontId="9" fillId="0" borderId="0" applyAlignment="1" pivotButton="0" quotePrefix="0" xfId="0">
      <alignment horizontal="center"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0" fillId="0" borderId="0" applyAlignment="1" pivotButton="0" quotePrefix="0" xfId="0">
      <alignment horizontal="general" vertical="top" wrapText="1"/>
    </xf>
    <xf numFmtId="0" fontId="0"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2" borderId="0" applyAlignment="1" pivotButton="0" quotePrefix="0" xfId="0">
      <alignment horizontal="general" vertical="bottom"/>
    </xf>
    <xf numFmtId="0" fontId="6" fillId="0"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0" fillId="4" borderId="0" applyAlignment="1" pivotButton="0" quotePrefix="0" xfId="0">
      <alignment horizontal="general" vertical="top" wrapText="1"/>
    </xf>
    <xf numFmtId="0" fontId="0" fillId="3" borderId="0" applyAlignment="1" pivotButton="0" quotePrefix="0" xfId="0">
      <alignment horizontal="general" vertical="top" wrapText="1"/>
    </xf>
    <xf numFmtId="0" fontId="0" fillId="5" borderId="0" applyAlignment="1" pivotButton="0" quotePrefix="0" xfId="0">
      <alignment horizontal="general"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4" fillId="2" borderId="0" applyAlignment="1" pivotButton="0" quotePrefix="0" xfId="0">
      <alignment horizontal="center" vertical="bottom"/>
    </xf>
    <xf numFmtId="0" fontId="8" fillId="0" borderId="0" applyAlignment="1" pivotButton="0" quotePrefix="0" xfId="0">
      <alignment horizontal="general" vertical="bottom"/>
    </xf>
    <xf numFmtId="0" fontId="9" fillId="0" borderId="0" applyAlignment="1" pivotButton="0" quotePrefix="0" xfId="0">
      <alignment horizontal="center"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0" fillId="0" borderId="0" applyAlignment="1" pivotButton="0" quotePrefix="0" xfId="0">
      <alignment horizontal="general" vertical="top" wrapText="1"/>
    </xf>
    <xf numFmtId="0" fontId="0" fillId="6" borderId="0" applyAlignment="1" pivotButton="0" quotePrefix="0" xfId="0">
      <alignment horizontal="general" vertical="top" wrapText="1"/>
    </xf>
    <xf numFmtId="0" fontId="0" fillId="9" borderId="0" applyAlignment="1" pivotButton="0" quotePrefix="0" xfId="0">
      <alignment vertical="top" wrapText="1"/>
    </xf>
    <xf numFmtId="0" fontId="0" fillId="1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293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BFDBFE"/>
          <bgColor rgb="FF000000"/>
        </patternFill>
      </fill>
    </dxf>
    <dxf>
      <fill>
        <patternFill patternType="solid">
          <fgColor rgb="FFFCA5A5"/>
          <bgColor rgb="FF000000"/>
        </patternFill>
      </fill>
    </dxf>
    <dxf>
      <fill>
        <patternFill patternType="solid">
          <fgColor rgb="FFFDE68A"/>
          <bgColor rgb="FF000000"/>
        </patternFill>
      </fill>
    </dxf>
    <dxf>
      <fill>
        <patternFill patternType="solid">
          <fgColor rgb="FFE5E7E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1D5DB"/>
      <rgbColor rgb="FF808080"/>
      <rgbColor rgb="FF9999FF"/>
      <rgbColor rgb="FF993366"/>
      <rgbColor rgb="FFFFFFCC"/>
      <rgbColor rgb="FFE5E7EB"/>
      <rgbColor rgb="FF660066"/>
      <rgbColor rgb="FFFF8080"/>
      <rgbColor rgb="FF0066CC"/>
      <rgbColor rgb="FFBFDBFE"/>
      <rgbColor rgb="FF000080"/>
      <rgbColor rgb="FFFF00FF"/>
      <rgbColor rgb="FFFFFF00"/>
      <rgbColor rgb="FF00FFFF"/>
      <rgbColor rgb="FF800080"/>
      <rgbColor rgb="FF800000"/>
      <rgbColor rgb="FF008080"/>
      <rgbColor rgb="FF0000FF"/>
      <rgbColor rgb="FF00CCFF"/>
      <rgbColor rgb="FFCCFFFF"/>
      <rgbColor rgb="FFCCFFCC"/>
      <rgbColor rgb="FFFDE68A"/>
      <rgbColor rgb="FF99CCFF"/>
      <rgbColor rgb="FFFCA5A5"/>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225"/>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0" customWidth="1" style="20" min="1" max="1"/>
    <col width="38" customWidth="1" style="20" min="2" max="2"/>
    <col width="16" customWidth="1" style="20" min="3" max="3"/>
    <col width="12" customWidth="1" style="20" min="4" max="4"/>
    <col width="24" customWidth="1" style="20" min="5" max="5"/>
    <col width="22" customWidth="1" style="20" min="6" max="6"/>
    <col width="10" customWidth="1" style="20" min="7" max="7"/>
    <col width="12" customWidth="1" style="20" min="8" max="8"/>
    <col width="9" customWidth="1" style="20" min="9" max="9"/>
    <col width="22" customWidth="1" style="20" min="10" max="10"/>
    <col width="55" customWidth="1" style="20" min="11" max="11"/>
    <col width="26" customWidth="1" style="20" min="12" max="12"/>
    <col width="13" customWidth="1" style="20" min="13" max="13"/>
    <col width="16" customWidth="1" style="20" min="14" max="14"/>
    <col width="14" customWidth="1" style="20" min="15" max="15"/>
    <col width="30" customWidth="1" style="20" min="16" max="16"/>
  </cols>
  <sheetData>
    <row r="1" ht="30" customHeight="1" s="21">
      <c r="A1" s="22" t="inlineStr">
        <is>
          <t>City</t>
        </is>
      </c>
      <c r="B1" s="22" t="inlineStr">
        <is>
          <t>Business Name</t>
        </is>
      </c>
      <c r="C1" s="22" t="inlineStr">
        <is>
          <t>Phone</t>
        </is>
      </c>
      <c r="D1" s="22" t="inlineStr">
        <is>
          <t>Has Website</t>
        </is>
      </c>
      <c r="E1" s="22" t="inlineStr">
        <is>
          <t>Website URL</t>
        </is>
      </c>
      <c r="F1" s="22" t="inlineStr">
        <is>
          <t>Website Quality</t>
        </is>
      </c>
      <c r="G1" s="22" t="inlineStr">
        <is>
          <t>Google Rating</t>
        </is>
      </c>
      <c r="H1" s="22" t="inlineStr">
        <is>
          <t>Review Count</t>
        </is>
      </c>
      <c r="I1" s="22" t="inlineStr">
        <is>
          <t>Flag</t>
        </is>
      </c>
      <c r="J1" s="22" t="inlineStr">
        <is>
          <t>Owner Name</t>
        </is>
      </c>
      <c r="K1" s="22" t="inlineStr">
        <is>
          <t>Notes</t>
        </is>
      </c>
      <c r="L1" s="22" t="inlineStr">
        <is>
          <t>Source</t>
        </is>
      </c>
      <c r="M1" s="22" t="inlineStr">
        <is>
          <t>Date Found</t>
        </is>
      </c>
      <c r="N1" s="23" t="inlineStr">
        <is>
          <t>Contacted (Y/N)</t>
        </is>
      </c>
      <c r="O1" s="23" t="inlineStr">
        <is>
          <t>Contact Date</t>
        </is>
      </c>
      <c r="P1" s="23" t="inlineStr">
        <is>
          <t>Response / Outcome</t>
        </is>
      </c>
    </row>
    <row r="2" ht="43.5" customHeight="1" s="21">
      <c r="A2" s="24" t="inlineStr">
        <is>
          <t>Arlington</t>
        </is>
      </c>
      <c r="B2" s="24" t="inlineStr">
        <is>
          <t>Service Max Heating &amp; Air Conditioning, LLC</t>
        </is>
      </c>
      <c r="C2" s="24" t="inlineStr">
        <is>
          <t>(360) 333-5904</t>
        </is>
      </c>
      <c r="D2" s="24" t="inlineStr">
        <is>
          <t>Yes (broken)</t>
        </is>
      </c>
      <c r="E2" s="24" t="inlineStr">
        <is>
          <t>servicemaxheating.com</t>
        </is>
      </c>
      <c r="F2" s="24" t="inlineStr">
        <is>
          <t>Broken / not loading</t>
        </is>
      </c>
      <c r="G2" s="24" t="n">
        <v>4.6</v>
      </c>
      <c r="H2" s="24" t="n">
        <v>46</v>
      </c>
      <c r="I2" s="25" t="inlineStr">
        <is>
          <t>Warm</t>
        </is>
      </c>
      <c r="J2" s="24" t="inlineStr">
        <is>
          <t>Mike Raether</t>
        </is>
      </c>
      <c r="K2" s="24" t="inlineStr">
        <is>
          <t>Domain exists but site failed to load on repeated visits (error page) - effectively no working web presence. Family-owned since 2012</t>
        </is>
      </c>
      <c r="L2" s="24" t="inlineStr">
        <is>
          <t>Google Maps; WebSearch; direct site visit</t>
        </is>
      </c>
      <c r="M2" s="24" t="inlineStr">
        <is>
          <t>2026-07-02</t>
        </is>
      </c>
      <c r="N2" s="26" t="inlineStr">
        <is>
          <t>Y</t>
        </is>
      </c>
      <c r="O2" s="26" t="inlineStr">
        <is>
          <t>2026-07-14</t>
        </is>
      </c>
      <c r="P2" s="26" t="inlineStr">
        <is>
          <t>Went to voicemail — call again (owner voicemail = good sign) | July 14 — 2nd voicemail left. Said: second time calling, know you're busy, have something to let customers book when they can't reach you. Left callback # 425-309-9782.</t>
        </is>
      </c>
    </row>
    <row r="3" ht="57.75" customHeight="1" s="21">
      <c r="A3" s="24" t="inlineStr">
        <is>
          <t>Arlington</t>
        </is>
      </c>
      <c r="B3" s="24" t="inlineStr">
        <is>
          <t>A-Service: Heating, Cooling &amp; Appliance Repair Arlington</t>
        </is>
      </c>
      <c r="C3" s="24" t="inlineStr">
        <is>
          <t>(360) 859-8185</t>
        </is>
      </c>
      <c r="D3" s="24" t="inlineStr">
        <is>
          <t>No</t>
        </is>
      </c>
      <c r="E3" s="24" t="inlineStr">
        <is>
          <t>N/A</t>
        </is>
      </c>
      <c r="F3" s="24" t="inlineStr">
        <is>
          <t>N/A</t>
        </is>
      </c>
      <c r="G3" s="24" t="n">
        <v>5</v>
      </c>
      <c r="H3" s="24" t="n">
        <v>169</v>
      </c>
      <c r="I3" s="27" t="inlineStr">
        <is>
          <t>Hot</t>
        </is>
      </c>
      <c r="J3" s="24" t="inlineStr">
        <is>
          <t>3rd-gen technician (name not confirmed)</t>
        </is>
      </c>
      <c r="K3" s="24" t="inlineStr">
        <is>
          <t>No dedicated business website found. Top search result for the name (services-wa.com) is an unrelated Eastern WA business with a different phone number and review count. Relies on Google + Nextdoor listing only</t>
        </is>
      </c>
      <c r="L3" s="24" t="inlineStr">
        <is>
          <t>Google Maps; WebSearch; Nextdoor</t>
        </is>
      </c>
      <c r="M3" s="24" t="inlineStr">
        <is>
          <t>2026-07-02</t>
        </is>
      </c>
      <c r="N3" s="26" t="inlineStr">
        <is>
          <t>Y</t>
        </is>
      </c>
      <c r="O3" s="26" t="inlineStr">
        <is>
          <t>2026-07-14</t>
        </is>
      </c>
      <c r="P3" s="26" t="inlineStr">
        <is>
          <t>Called — AI answering system, no human reached. Call again. | July 14 — AI agent again, no human reached. Try early morning or after 5pm.</t>
        </is>
      </c>
    </row>
    <row r="4" ht="43.5" customHeight="1" s="21">
      <c r="A4" s="24" t="inlineStr">
        <is>
          <t>Arlington</t>
        </is>
      </c>
      <c r="B4" s="24" t="inlineStr">
        <is>
          <t>AeroCool Heating and Air Conditioning</t>
        </is>
      </c>
      <c r="C4" s="24" t="inlineStr">
        <is>
          <t>(425) 405-4876</t>
        </is>
      </c>
      <c r="D4" s="24" t="inlineStr">
        <is>
          <t>Yes</t>
        </is>
      </c>
      <c r="E4" s="24" t="inlineStr">
        <is>
          <t>aerocoolservices.com</t>
        </is>
      </c>
      <c r="F4" s="24" t="inlineStr">
        <is>
          <t>Amateurish / DIY template</t>
        </is>
      </c>
      <c r="G4" s="24" t="n">
        <v>5</v>
      </c>
      <c r="H4" s="24" t="n">
        <v>43</v>
      </c>
      <c r="I4" s="25" t="inlineStr">
        <is>
          <t>Warm</t>
        </is>
      </c>
      <c r="J4" s="24" t="inlineStr">
        <is>
          <t>Carson Brender</t>
        </is>
      </c>
      <c r="K4" s="24" t="inlineStr">
        <is>
          <t>Generic template-builder site, awkward copy ("Speak With a Licensed Technician Licensed Now"), thin content, stock contact form</t>
        </is>
      </c>
      <c r="L4" s="24" t="inlineStr">
        <is>
          <t>Google Maps; WebSearch; direct site visit</t>
        </is>
      </c>
      <c r="M4" s="24" t="inlineStr">
        <is>
          <t>2026-07-02</t>
        </is>
      </c>
      <c r="N4" s="26" t="inlineStr">
        <is>
          <t>Y</t>
        </is>
      </c>
      <c r="O4" s="26" t="inlineStr">
        <is>
          <t>2026-07-14</t>
        </is>
      </c>
      <c r="P4" s="26" t="inlineStr">
        <is>
          <t>No answer — call again. Note: site has HouseCall Pro booking widget already active. | July 14 — voice agent again. Left inquiry about their HouseCall Pro booking feature. Told them best callback time is before 11am. | July 14 — spoke to Jeremy (staff). Got Rusty's personal cell (transcript garbled — Jose has it). Best time to call: after 12pm today.</t>
        </is>
      </c>
    </row>
    <row r="5" ht="28.5" customHeight="1" s="21">
      <c r="A5" s="24" t="inlineStr">
        <is>
          <t>Arlington</t>
        </is>
      </c>
      <c r="B5" s="24" t="inlineStr">
        <is>
          <t>Anderson Mechanical Heating &amp; Cooling INC.</t>
        </is>
      </c>
      <c r="C5" s="24" t="inlineStr">
        <is>
          <t>(425) 422-0160</t>
        </is>
      </c>
      <c r="D5" s="24" t="inlineStr">
        <is>
          <t>No</t>
        </is>
      </c>
      <c r="E5" s="24" t="inlineStr">
        <is>
          <t>N/A</t>
        </is>
      </c>
      <c r="F5" s="24" t="inlineStr">
        <is>
          <t>N/A</t>
        </is>
      </c>
      <c r="G5" s="24" t="n">
        <v>4.9</v>
      </c>
      <c r="H5" s="24" t="n">
        <v>14</v>
      </c>
      <c r="I5" s="28" t="inlineStr">
        <is>
          <t>Watch</t>
        </is>
      </c>
      <c r="J5" s="24" t="inlineStr">
        <is>
          <t>Jesse Anderson (registered agent)</t>
        </is>
      </c>
      <c r="K5" s="24" t="inlineStr">
        <is>
          <t>No website found. Only 14 reviews so it doesn't yet clear the 30+ review bar - worth rechecking as it grows</t>
        </is>
      </c>
      <c r="L5" s="24" t="inlineStr">
        <is>
          <t>Google Maps; WebSearch</t>
        </is>
      </c>
      <c r="M5" s="24" t="inlineStr">
        <is>
          <t>2026-07-02</t>
        </is>
      </c>
      <c r="N5" s="26" t="inlineStr">
        <is>
          <t>N</t>
        </is>
      </c>
      <c r="O5" s="26" t="n"/>
      <c r="P5" s="26" t="n"/>
    </row>
    <row r="6" ht="150" customHeight="1" s="21">
      <c r="A6" s="24" t="inlineStr">
        <is>
          <t>Arlington</t>
        </is>
      </c>
      <c r="B6" s="24" t="inlineStr">
        <is>
          <t>Frog HVAC LLC</t>
        </is>
      </c>
      <c r="C6" s="24" t="inlineStr">
        <is>
          <t>(425) 359-7988</t>
        </is>
      </c>
      <c r="D6" s="24" t="inlineStr">
        <is>
          <t>Yes</t>
        </is>
      </c>
      <c r="E6" s="24" t="inlineStr">
        <is>
          <t>froghvac.com</t>
        </is>
      </c>
      <c r="F6" s="24" t="inlineStr">
        <is>
          <t>Warm - grammatical error in hero headline ("Based Of Arlington" instead of "Based In"), generic stock photo of unrelated modern architectural interior (not their own trucks/team), garish rainbow frog mascot clashing with green header/orange CTA scheme</t>
        </is>
      </c>
      <c r="G6" s="24" t="n">
        <v>4.6</v>
      </c>
      <c r="H6" s="24" t="n">
        <v>28</v>
      </c>
      <c r="I6" s="25" t="inlineStr">
        <is>
          <t>Warm</t>
        </is>
      </c>
      <c r="J6" s="24" t="n"/>
      <c r="K6" s="24" t="inlineStr">
        <is>
          <t>28 reviews clears the new 25+ bar. Site technically exists but actively hurts them - stock photography instead of real work, plus a copy error on the hero headline. Good "here's specifically what's broken" pitch.</t>
        </is>
      </c>
      <c r="L6" s="24" t="inlineStr">
        <is>
          <t>Google Maps</t>
        </is>
      </c>
      <c r="M6" s="24" t="inlineStr">
        <is>
          <t>2026-07-02</t>
        </is>
      </c>
      <c r="N6" s="26" t="inlineStr">
        <is>
          <t>N</t>
        </is>
      </c>
      <c r="O6" s="26" t="n"/>
      <c r="P6" s="26" t="n"/>
    </row>
    <row r="7" ht="43.5" customHeight="1" s="21">
      <c r="A7" s="24" t="inlineStr">
        <is>
          <t>Marysville</t>
        </is>
      </c>
      <c r="B7" s="24" t="inlineStr">
        <is>
          <t>Montanos Heating &amp; Cooling Services</t>
        </is>
      </c>
      <c r="C7" s="24" t="inlineStr">
        <is>
          <t>(425) 314-1814</t>
        </is>
      </c>
      <c r="D7" s="24" t="inlineStr">
        <is>
          <t>Yes</t>
        </is>
      </c>
      <c r="E7" s="24" t="inlineStr">
        <is>
          <t>montanosheating.com</t>
        </is>
      </c>
      <c r="F7" s="24" t="inlineStr">
        <is>
          <t>Outdated / amateurish</t>
        </is>
      </c>
      <c r="G7" s="24" t="n">
        <v>5</v>
      </c>
      <c r="H7" s="24" t="n">
        <v>54</v>
      </c>
      <c r="I7" s="25" t="inlineStr">
        <is>
          <t>Warm</t>
        </is>
      </c>
      <c r="J7" s="24" t="inlineStr">
        <is>
          <t>Joel (last name not confirmed)</t>
        </is>
      </c>
      <c r="K7" s="24" t="inlineStr">
        <is>
          <t>Generic dark template, mismatched personal-vehicle stock photo, business email is a @gmail.com address, overlapping lead-gen popup blocks page content</t>
        </is>
      </c>
      <c r="L7" s="24" t="inlineStr">
        <is>
          <t>Google Maps; WebSearch; direct site visit</t>
        </is>
      </c>
      <c r="M7" s="24" t="inlineStr">
        <is>
          <t>2026-07-02</t>
        </is>
      </c>
      <c r="N7" s="26" t="inlineStr">
        <is>
          <t>Y</t>
        </is>
      </c>
      <c r="O7" s="26" t="inlineStr">
        <is>
          <t>2026-07-14</t>
        </is>
      </c>
      <c r="P7" s="26" t="inlineStr">
        <is>
          <t>July 14 — no answer, no voicemail.</t>
        </is>
      </c>
    </row>
    <row r="8" ht="28.5" customHeight="1" s="21">
      <c r="A8" s="24" t="inlineStr">
        <is>
          <t>Marysville</t>
        </is>
      </c>
      <c r="B8" s="24" t="inlineStr">
        <is>
          <t>Kodiak Heating and Cooling</t>
        </is>
      </c>
      <c r="C8" s="24" t="inlineStr">
        <is>
          <t>(425) 883-4871</t>
        </is>
      </c>
      <c r="D8" s="24" t="inlineStr">
        <is>
          <t>Yes</t>
        </is>
      </c>
      <c r="E8" s="24" t="inlineStr">
        <is>
          <t>kodiakheatingandcooling.com</t>
        </is>
      </c>
      <c r="F8" s="24" t="inlineStr">
        <is>
          <t>Dated / generic</t>
        </is>
      </c>
      <c r="G8" s="24" t="n">
        <v>5</v>
      </c>
      <c r="H8" s="24" t="n">
        <v>91</v>
      </c>
      <c r="I8" s="25" t="inlineStr">
        <is>
          <t>Warm</t>
        </is>
      </c>
      <c r="J8" s="24" t="inlineStr">
        <is>
          <t>Thomas Hager &amp; Steven Hyde</t>
        </is>
      </c>
      <c r="K8" s="24" t="inlineStr">
        <is>
          <t>Uses generic stock family photo (not their own team or trucks), dated template layout</t>
        </is>
      </c>
      <c r="L8" s="24" t="inlineStr">
        <is>
          <t>Google Maps; WebSearch; direct site visit</t>
        </is>
      </c>
      <c r="M8" s="24" t="inlineStr">
        <is>
          <t>2026-07-02</t>
        </is>
      </c>
      <c r="N8" s="26" t="inlineStr">
        <is>
          <t>Y</t>
        </is>
      </c>
      <c r="O8" s="26" t="inlineStr">
        <is>
          <t>2026-07-14</t>
        </is>
      </c>
      <c r="P8" s="26" t="inlineStr">
        <is>
          <t>July 14 — Nicole (staff) answered. Thomas/Steven not in. Website was just revamped — skip website angle. Actually Washington Water Heaters (tankless specialist). Got Tom email: tanklesstom@gmail.com. Send booking pitch email.</t>
        </is>
      </c>
    </row>
    <row r="9" ht="43.5" customHeight="1" s="21">
      <c r="A9" s="24" t="inlineStr">
        <is>
          <t>Stanwood</t>
        </is>
      </c>
      <c r="B9" s="24" t="inlineStr">
        <is>
          <t>Cool Heat 365 LLC</t>
        </is>
      </c>
      <c r="C9" s="24" t="inlineStr">
        <is>
          <t>(425) 740-4212</t>
        </is>
      </c>
      <c r="D9" s="24" t="inlineStr">
        <is>
          <t>Yes</t>
        </is>
      </c>
      <c r="E9" s="24" t="inlineStr">
        <is>
          <t>coolheat365.com</t>
        </is>
      </c>
      <c r="F9" s="24" t="inlineStr">
        <is>
          <t>Amateurish / outdated</t>
        </is>
      </c>
      <c r="G9" s="24" t="n">
        <v>4.8</v>
      </c>
      <c r="H9" s="24" t="n">
        <v>367</v>
      </c>
      <c r="I9" s="25" t="inlineStr">
        <is>
          <t>Warm</t>
        </is>
      </c>
      <c r="J9" s="24" t="inlineStr">
        <is>
          <t>Rusty (last name not confirmed)</t>
        </is>
      </c>
      <c r="K9" s="24" t="inlineStr">
        <is>
          <t>Cartoon-style flame mascot logo, business email is a @yahoo.com address, broken icon placeholders next to contact info in header</t>
        </is>
      </c>
      <c r="L9" s="24" t="inlineStr">
        <is>
          <t>Google Maps; WebSearch; direct site visit</t>
        </is>
      </c>
      <c r="M9" s="24" t="inlineStr">
        <is>
          <t>2026-07-02</t>
        </is>
      </c>
      <c r="N9" s="26" t="inlineStr">
        <is>
          <t>Y</t>
        </is>
      </c>
      <c r="O9" s="26" t="inlineStr">
        <is>
          <t>2026-07-14</t>
        </is>
      </c>
      <c r="P9" s="26" t="inlineStr">
        <is>
          <t>July 14 — spoke to Jeremy (staff). Got Rusty's personal cell (transcript garbled — Jose has it). Best time to call: after 12pm today.</t>
        </is>
      </c>
    </row>
    <row r="10" ht="43.5" customHeight="1" s="21">
      <c r="A10" s="24" t="inlineStr">
        <is>
          <t>Mount Vernon</t>
        </is>
      </c>
      <c r="B10" s="24" t="inlineStr">
        <is>
          <t>Handy's Heating</t>
        </is>
      </c>
      <c r="C10" s="24" t="inlineStr">
        <is>
          <t>(360) 428-0969</t>
        </is>
      </c>
      <c r="D10" s="24" t="inlineStr">
        <is>
          <t>Yes</t>
        </is>
      </c>
      <c r="E10" s="24" t="inlineStr">
        <is>
          <t>handysheating.com</t>
        </is>
      </c>
      <c r="F10" s="24" t="inlineStr">
        <is>
          <t>Outdated</t>
        </is>
      </c>
      <c r="G10" s="24" t="n">
        <v>4.6</v>
      </c>
      <c r="H10" s="24" t="n">
        <v>260</v>
      </c>
      <c r="I10" s="25" t="inlineStr">
        <is>
          <t>Warm</t>
        </is>
      </c>
      <c r="J10" s="24" t="n"/>
      <c r="K10" s="24" t="inlineStr">
        <is>
          <t>Dated embossed-text logo, homepage banner still promoting a stale seasonal ("holidays") tune-up offer, generic stock house photo</t>
        </is>
      </c>
      <c r="L10" s="24" t="inlineStr">
        <is>
          <t>Google Maps; WebSearch; direct site visit</t>
        </is>
      </c>
      <c r="M10" s="24" t="inlineStr">
        <is>
          <t>2026-07-02</t>
        </is>
      </c>
      <c r="N10" s="26" t="inlineStr">
        <is>
          <t>N</t>
        </is>
      </c>
      <c r="O10" s="26" t="n"/>
      <c r="P10" s="26" t="n"/>
    </row>
    <row r="11" ht="43.5" customHeight="1" s="21">
      <c r="A11" s="24" t="inlineStr">
        <is>
          <t>Mount Vernon</t>
        </is>
      </c>
      <c r="B11" s="24" t="inlineStr">
        <is>
          <t>Nordic Temperature Control</t>
        </is>
      </c>
      <c r="C11" s="24" t="inlineStr">
        <is>
          <t>(360) 873-8163</t>
        </is>
      </c>
      <c r="D11" s="24" t="inlineStr">
        <is>
          <t>Yes</t>
        </is>
      </c>
      <c r="E11" s="24" t="inlineStr">
        <is>
          <t>nordictempcontrol.com</t>
        </is>
      </c>
      <c r="F11" s="24" t="inlineStr">
        <is>
          <t>Cluttered / dated</t>
        </is>
      </c>
      <c r="G11" s="24" t="n">
        <v>4.9</v>
      </c>
      <c r="H11" s="24" t="n">
        <v>130</v>
      </c>
      <c r="I11" s="25" t="inlineStr">
        <is>
          <t>Warm</t>
        </is>
      </c>
      <c r="J11" s="24" t="n"/>
      <c r="K11" s="24" t="inlineStr">
        <is>
          <t>Aggressive SMS sign-up popup on load, multiple stacked widgets (chat bubble, HomeAdvisor badge, cookie banner) creating cluttered UX</t>
        </is>
      </c>
      <c r="L11" s="24" t="inlineStr">
        <is>
          <t>Google Maps; WebSearch; direct site visit</t>
        </is>
      </c>
      <c r="M11" s="24" t="inlineStr">
        <is>
          <t>2026-07-02</t>
        </is>
      </c>
      <c r="N11" s="26" t="inlineStr">
        <is>
          <t>Y</t>
        </is>
      </c>
      <c r="O11" s="26" t="inlineStr">
        <is>
          <t>2026-07-14</t>
        </is>
      </c>
      <c r="P11" s="26" t="inlineStr">
        <is>
          <t>July 14 — screener answered, directed to email. Got contact email (transcript garbled — likely contact@nordictemperaturecontrol.com — verify). Send booking pitch email.</t>
        </is>
      </c>
    </row>
    <row r="12" ht="28.5" customHeight="1" s="21">
      <c r="A12" s="24" t="inlineStr">
        <is>
          <t>Mount Vernon (Burlington)</t>
        </is>
      </c>
      <c r="B12" s="24" t="inlineStr">
        <is>
          <t>Alpine Heating and Cooling</t>
        </is>
      </c>
      <c r="C12" s="24" t="inlineStr">
        <is>
          <t>(360) 755-5146</t>
        </is>
      </c>
      <c r="D12" s="24" t="inlineStr">
        <is>
          <t>Yes</t>
        </is>
      </c>
      <c r="E12" s="24" t="inlineStr">
        <is>
          <t>alpineheat.com</t>
        </is>
      </c>
      <c r="F12" s="24" t="inlineStr">
        <is>
          <t>Dated</t>
        </is>
      </c>
      <c r="G12" s="24" t="n">
        <v>4.7</v>
      </c>
      <c r="H12" s="24" t="n">
        <v>82</v>
      </c>
      <c r="I12" s="25" t="inlineStr">
        <is>
          <t>Warm</t>
        </is>
      </c>
      <c r="J12" s="24" t="n"/>
      <c r="K12" s="24" t="inlineStr">
        <is>
          <t>Serviceable but dated site - lacks inline lead capture form and a modern visual refresh</t>
        </is>
      </c>
      <c r="L12" s="24" t="inlineStr">
        <is>
          <t>Google Maps; WebSearch</t>
        </is>
      </c>
      <c r="M12" s="24" t="inlineStr">
        <is>
          <t>2026-07-02</t>
        </is>
      </c>
      <c r="N12" s="26" t="inlineStr">
        <is>
          <t>N</t>
        </is>
      </c>
      <c r="O12" s="26" t="n"/>
      <c r="P12" s="26" t="n"/>
    </row>
    <row r="13" ht="43.5" customHeight="1" s="21">
      <c r="A13" s="24" t="inlineStr">
        <is>
          <t>Everett</t>
        </is>
      </c>
      <c r="B13" s="24" t="inlineStr">
        <is>
          <t>AirPros Energy Heating and Cooling</t>
        </is>
      </c>
      <c r="C13" s="24" t="inlineStr">
        <is>
          <t>(425) 600-7540</t>
        </is>
      </c>
      <c r="D13" s="24" t="inlineStr">
        <is>
          <t>Yes</t>
        </is>
      </c>
      <c r="E13" s="24" t="inlineStr">
        <is>
          <t>airprosenergy.com</t>
        </is>
      </c>
      <c r="F13" s="24" t="inlineStr">
        <is>
          <t>Amateurish</t>
        </is>
      </c>
      <c r="G13" s="24" t="n">
        <v>5</v>
      </c>
      <c r="H13" s="24" t="n">
        <v>139</v>
      </c>
      <c r="I13" s="25" t="inlineStr">
        <is>
          <t>Warm</t>
        </is>
      </c>
      <c r="J13" s="24" t="inlineStr">
        <is>
          <t>Richie &amp; Mark (co-founders, 2007)</t>
        </is>
      </c>
      <c r="K13" s="24" t="inlineStr">
        <is>
          <t>No logo/branding in header, plain text-heavy layout, grammatical typo in hero copy ("take control your home comfort") | Has online booking feature on website already — warm lead, skip the booking education, go straight to website quality angle.</t>
        </is>
      </c>
      <c r="L13" s="24" t="inlineStr">
        <is>
          <t>Google Maps; WebSearch; direct site visit</t>
        </is>
      </c>
      <c r="M13" s="24" t="inlineStr">
        <is>
          <t>2026-07-02</t>
        </is>
      </c>
      <c r="N13" s="26" t="inlineStr">
        <is>
          <t>N</t>
        </is>
      </c>
      <c r="O13" s="26" t="inlineStr">
        <is>
          <t>2026-07-14</t>
        </is>
      </c>
      <c r="P13" s="26" t="inlineStr">
        <is>
          <t>July 14 — no answer, no voicemail. | July 14 — receptionist picked up (owner unavailable). Has online booking but SET TIMES only, not live availability. Got email: info@airprosenergy.com. Send follow-up email today.</t>
        </is>
      </c>
    </row>
    <row r="14" ht="43.5" customHeight="1" s="21">
      <c r="A14" s="24" t="inlineStr">
        <is>
          <t>Everett</t>
        </is>
      </c>
      <c r="B14" s="24" t="inlineStr">
        <is>
          <t>Top Quality Home Service</t>
        </is>
      </c>
      <c r="C14" s="24" t="inlineStr">
        <is>
          <t>(425) 365-5589</t>
        </is>
      </c>
      <c r="D14" s="24" t="inlineStr">
        <is>
          <t>No</t>
        </is>
      </c>
      <c r="E14" s="24" t="inlineStr">
        <is>
          <t>N/A</t>
        </is>
      </c>
      <c r="F14" s="24" t="inlineStr">
        <is>
          <t>N/A</t>
        </is>
      </c>
      <c r="G14" s="24" t="n">
        <v>5</v>
      </c>
      <c r="H14" s="24" t="n">
        <v>32</v>
      </c>
      <c r="I14" s="27" t="inlineStr">
        <is>
          <t>Hot</t>
        </is>
      </c>
      <c r="J14" s="24" t="inlineStr">
        <is>
          <t>Cody (last name not confirmed)</t>
        </is>
      </c>
      <c r="K14" s="24" t="inlineStr">
        <is>
          <t>No dedicated business website found despite a "Website" link on the Google listing; searches turn up only directory/aggregator pages, not an owned site</t>
        </is>
      </c>
      <c r="L14" s="24" t="inlineStr">
        <is>
          <t>Google Maps; WebSearch</t>
        </is>
      </c>
      <c r="M14" s="24" t="inlineStr">
        <is>
          <t>2026-07-02</t>
        </is>
      </c>
      <c r="N14" s="26" t="inlineStr">
        <is>
          <t>Y</t>
        </is>
      </c>
      <c r="O14" s="26" t="inlineStr">
        <is>
          <t>2026-07-13</t>
        </is>
      </c>
      <c r="P14" s="26" t="inlineStr">
        <is>
          <t>No answer — call again | Called back — panicked, posed as customer needing AC repair, bailed. Call back tomorrow, open by owning it.</t>
        </is>
      </c>
    </row>
    <row r="15" ht="28.5" customHeight="1" s="21">
      <c r="A15" s="24" t="inlineStr">
        <is>
          <t>Everett</t>
        </is>
      </c>
      <c r="B15" s="24" t="inlineStr">
        <is>
          <t>Climate Pro LLC</t>
        </is>
      </c>
      <c r="C15" s="24" t="inlineStr">
        <is>
          <t>(425) 787-5804</t>
        </is>
      </c>
      <c r="D15" s="24" t="inlineStr">
        <is>
          <t>Yes</t>
        </is>
      </c>
      <c r="E15" s="24" t="inlineStr">
        <is>
          <t>climatepronw.com</t>
        </is>
      </c>
      <c r="F15" s="24" t="inlineStr">
        <is>
          <t>Dated</t>
        </is>
      </c>
      <c r="G15" s="24" t="n">
        <v>4.6</v>
      </c>
      <c r="H15" s="24" t="n">
        <v>38</v>
      </c>
      <c r="I15" s="25" t="inlineStr">
        <is>
          <t>Warm</t>
        </is>
      </c>
      <c r="J15" s="24" t="n"/>
      <c r="K15" s="24" t="inlineStr">
        <is>
          <t>Generic stock family photo, cluttered dated template, UI text-overlap glitch in hero banner</t>
        </is>
      </c>
      <c r="L15" s="24" t="inlineStr">
        <is>
          <t>Google Maps; WebSearch; direct site visit</t>
        </is>
      </c>
      <c r="M15" s="24" t="inlineStr">
        <is>
          <t>2026-07-02</t>
        </is>
      </c>
      <c r="N15" s="26" t="inlineStr">
        <is>
          <t>N</t>
        </is>
      </c>
      <c r="O15" s="26" t="n"/>
      <c r="P15" s="26" t="n"/>
    </row>
    <row r="16" ht="28.5" customHeight="1" s="21">
      <c r="A16" s="24" t="inlineStr">
        <is>
          <t>Lake Stevens</t>
        </is>
      </c>
      <c r="B16" s="24" t="inlineStr">
        <is>
          <t>Arctic Heat LLC</t>
        </is>
      </c>
      <c r="C16" s="24" t="inlineStr">
        <is>
          <t>(360) 540-1920</t>
        </is>
      </c>
      <c r="D16" s="24" t="inlineStr">
        <is>
          <t>No</t>
        </is>
      </c>
      <c r="E16" s="24" t="inlineStr">
        <is>
          <t>N/A</t>
        </is>
      </c>
      <c r="F16" s="24" t="inlineStr">
        <is>
          <t>N/A</t>
        </is>
      </c>
      <c r="G16" s="24" t="n">
        <v>5</v>
      </c>
      <c r="H16" s="24" t="n">
        <v>75</v>
      </c>
      <c r="I16" s="27" t="inlineStr">
        <is>
          <t>Hot</t>
        </is>
      </c>
      <c r="J16" s="24" t="inlineStr">
        <is>
          <t>Sergey &amp; Natalia Nikolin</t>
        </is>
      </c>
      <c r="K16" s="24" t="inlineStr">
        <is>
          <t>No dedicated website found; only directory/social listings (Facebook, Yelp, BBB, Networx) turn up</t>
        </is>
      </c>
      <c r="L16" s="24" t="inlineStr">
        <is>
          <t>Google Maps; WebSearch</t>
        </is>
      </c>
      <c r="M16" s="24" t="inlineStr">
        <is>
          <t>2026-07-02</t>
        </is>
      </c>
      <c r="N16" s="26" t="inlineStr">
        <is>
          <t>Y</t>
        </is>
      </c>
      <c r="O16" s="26" t="inlineStr">
        <is>
          <t>2026-07-08</t>
        </is>
      </c>
      <c r="P16" s="26" t="inlineStr">
        <is>
          <t>Called — business closed. Sergey now works for different company. Dead lead.</t>
        </is>
      </c>
    </row>
    <row r="17" ht="43.5" customHeight="1" s="21">
      <c r="A17" s="24" t="inlineStr">
        <is>
          <t>Lake Stevens</t>
        </is>
      </c>
      <c r="B17" s="24" t="inlineStr">
        <is>
          <t>Puget Heating Company</t>
        </is>
      </c>
      <c r="C17" s="24" t="inlineStr">
        <is>
          <t>(425) 334-4111</t>
        </is>
      </c>
      <c r="D17" s="24" t="inlineStr">
        <is>
          <t>Yes</t>
        </is>
      </c>
      <c r="E17" s="24" t="inlineStr">
        <is>
          <t>pugetheating.com</t>
        </is>
      </c>
      <c r="F17" s="24" t="inlineStr">
        <is>
          <t>Very outdated</t>
        </is>
      </c>
      <c r="G17" s="24" t="n">
        <v>4.8</v>
      </c>
      <c r="H17" s="24" t="n">
        <v>37</v>
      </c>
      <c r="I17" s="25" t="inlineStr">
        <is>
          <t>Warm</t>
        </is>
      </c>
      <c r="J17" s="24" t="n"/>
      <c r="K17" s="24" t="inlineStr">
        <is>
          <t>Established 1974; cloudy-sky gradient background, cartoon mechanic mascot, clip-art scalloped borders around product photos - classic mid-2000s design</t>
        </is>
      </c>
      <c r="L17" s="24" t="inlineStr">
        <is>
          <t>Google Maps; WebSearch; direct site visit</t>
        </is>
      </c>
      <c r="M17" s="24" t="inlineStr">
        <is>
          <t>2026-07-02</t>
        </is>
      </c>
      <c r="N17" s="26" t="inlineStr">
        <is>
          <t>N</t>
        </is>
      </c>
      <c r="O17" s="26" t="n"/>
      <c r="P17" s="26" t="n"/>
    </row>
    <row r="18" ht="43.5" customHeight="1" s="21">
      <c r="A18" s="24" t="inlineStr">
        <is>
          <t>Lake Stevens</t>
        </is>
      </c>
      <c r="B18" s="24" t="inlineStr">
        <is>
          <t>Elevated Mechanical LLC</t>
        </is>
      </c>
      <c r="C18" s="24" t="inlineStr">
        <is>
          <t>(425) 530-7192</t>
        </is>
      </c>
      <c r="D18" s="24" t="inlineStr">
        <is>
          <t>Yes</t>
        </is>
      </c>
      <c r="E18" s="24" t="inlineStr">
        <is>
          <t>elevatedmechanicalnw.com</t>
        </is>
      </c>
      <c r="F18" s="24" t="inlineStr">
        <is>
          <t>Amateurish / thin</t>
        </is>
      </c>
      <c r="G18" s="24" t="n">
        <v>5</v>
      </c>
      <c r="H18" s="24" t="n">
        <v>34</v>
      </c>
      <c r="I18" s="25" t="inlineStr">
        <is>
          <t>Warm</t>
        </is>
      </c>
      <c r="J18" s="24" t="n"/>
      <c r="K18" s="24" t="inlineStr">
        <is>
          <t>Bare no-code template site - just a centered logo on a blank page, no hero content or CTA, business email is a @gmail.com address</t>
        </is>
      </c>
      <c r="L18" s="24" t="inlineStr">
        <is>
          <t>Google Maps; WebSearch; direct site visit</t>
        </is>
      </c>
      <c r="M18" s="24" t="inlineStr">
        <is>
          <t>2026-07-02</t>
        </is>
      </c>
      <c r="N18" s="26" t="inlineStr">
        <is>
          <t>N</t>
        </is>
      </c>
      <c r="O18" s="26" t="n"/>
      <c r="P18" s="26" t="n"/>
    </row>
    <row r="19" ht="43.5" customHeight="1" s="21">
      <c r="A19" s="24" t="inlineStr">
        <is>
          <t>Snohomish</t>
        </is>
      </c>
      <c r="B19" s="24" t="inlineStr">
        <is>
          <t>McFarland Heating &amp; Air</t>
        </is>
      </c>
      <c r="C19" s="24" t="inlineStr">
        <is>
          <t>(360) 568-4205</t>
        </is>
      </c>
      <c r="D19" s="24" t="inlineStr">
        <is>
          <t>Yes</t>
        </is>
      </c>
      <c r="E19" s="24" t="inlineStr">
        <is>
          <t>mcfarlandhvac.com</t>
        </is>
      </c>
      <c r="F19" s="24" t="inlineStr">
        <is>
          <t>Broken / technical issues</t>
        </is>
      </c>
      <c r="G19" s="24" t="n">
        <v>5</v>
      </c>
      <c r="H19" s="24" t="n">
        <v>46</v>
      </c>
      <c r="I19" s="25" t="inlineStr">
        <is>
          <t>Hot</t>
        </is>
      </c>
      <c r="J19" s="24" t="inlineStr">
        <is>
          <t>Howard, Andy &amp; Zack (family owners)</t>
        </is>
      </c>
      <c r="K19" s="24" t="inlineStr">
        <is>
          <t>Page title tag shows raw unescaped HTML code ("McFarland Heating &amp; Air&lt;br /&gt;360-568-4205") - a broken/badly coded site</t>
        </is>
      </c>
      <c r="L19" s="24" t="inlineStr">
        <is>
          <t>Google Maps; WebSearch</t>
        </is>
      </c>
      <c r="M19" s="24" t="inlineStr">
        <is>
          <t>2026-07-02</t>
        </is>
      </c>
      <c r="N19" s="26" t="inlineStr">
        <is>
          <t>Y</t>
        </is>
      </c>
      <c r="O19" s="26" t="inlineStr">
        <is>
          <t>2026-07-14</t>
        </is>
      </c>
      <c r="P19" s="26" t="inlineStr">
        <is>
          <t>VERBAL YES — Zach (co-owner) picked up. Said no twice, Jose pivoted with free case study offer. Zach: I dig that, send me a mock-up. Gave personal cell. Bonded over AI. Text demo link NOW.</t>
        </is>
      </c>
    </row>
    <row r="20" ht="28.5" customHeight="1" s="21">
      <c r="A20" s="24" t="inlineStr">
        <is>
          <t>Snohomish</t>
        </is>
      </c>
      <c r="B20" s="24" t="inlineStr">
        <is>
          <t>Pilchuck Heating</t>
        </is>
      </c>
      <c r="C20" s="24" t="inlineStr">
        <is>
          <t>(425) 585-0659</t>
        </is>
      </c>
      <c r="D20" s="24" t="inlineStr">
        <is>
          <t>Yes</t>
        </is>
      </c>
      <c r="E20" s="24" t="inlineStr">
        <is>
          <t>pilchuckheating.com</t>
        </is>
      </c>
      <c r="F20" s="24" t="inlineStr">
        <is>
          <t>Broken / buggy</t>
        </is>
      </c>
      <c r="G20" s="24" t="n">
        <v>4.3</v>
      </c>
      <c r="H20" s="24" t="n">
        <v>32</v>
      </c>
      <c r="I20" s="25" t="inlineStr">
        <is>
          <t>Warm</t>
        </is>
      </c>
      <c r="J20" s="24" t="n"/>
      <c r="K20" s="24" t="inlineStr">
        <is>
          <t>Navigation bar renders duplicated and stacked on page load, large broken empty sections - clear front-end bugs</t>
        </is>
      </c>
      <c r="L20" s="24" t="inlineStr">
        <is>
          <t>Google Maps; WebSearch; direct site visit</t>
        </is>
      </c>
      <c r="M20" s="24" t="inlineStr">
        <is>
          <t>2026-07-02</t>
        </is>
      </c>
      <c r="N20" s="26" t="inlineStr">
        <is>
          <t>N</t>
        </is>
      </c>
      <c r="O20" s="26" t="n"/>
      <c r="P20" s="26" t="n"/>
    </row>
    <row r="21" ht="28.5" customHeight="1" s="21">
      <c r="A21" s="24" t="inlineStr">
        <is>
          <t>Snohomish</t>
        </is>
      </c>
      <c r="B21" s="24" t="inlineStr">
        <is>
          <t>Snohomish Furnace &amp; Air Conditioning</t>
        </is>
      </c>
      <c r="C21" s="24" t="inlineStr">
        <is>
          <t>(425) 610-6635</t>
        </is>
      </c>
      <c r="D21" s="24" t="inlineStr">
        <is>
          <t>Yes</t>
        </is>
      </c>
      <c r="E21" s="24" t="inlineStr">
        <is>
          <t>snohomishfurnace.com</t>
        </is>
      </c>
      <c r="F21" s="24" t="inlineStr">
        <is>
          <t>Cluttered / stale</t>
        </is>
      </c>
      <c r="G21" s="24" t="n">
        <v>4.7</v>
      </c>
      <c r="H21" s="24" t="n">
        <v>168</v>
      </c>
      <c r="I21" s="25" t="inlineStr">
        <is>
          <t>Do Not Call</t>
        </is>
      </c>
      <c r="J21" s="24" t="n"/>
      <c r="K21" s="24" t="inlineStr">
        <is>
          <t>Intrusive popup blocks content on load, homepage still promoting a stale "Spring Service" offer in July</t>
        </is>
      </c>
      <c r="L21" s="24" t="inlineStr">
        <is>
          <t>Google Maps; WebSearch; direct site visit</t>
        </is>
      </c>
      <c r="M21" s="24" t="inlineStr">
        <is>
          <t>2026-07-02</t>
        </is>
      </c>
      <c r="N21" s="26" t="inlineStr">
        <is>
          <t>Y</t>
        </is>
      </c>
      <c r="O21" s="26" t="inlineStr">
        <is>
          <t>2026-07-14</t>
        </is>
      </c>
      <c r="P21" s="26" t="inlineStr">
        <is>
          <t>July 14 — owner picked up. Spring sale opener landed but GoDaddy follow-up triggered ARE YOU SELLING ME SOMETHING. Hung up. Not interested.</t>
        </is>
      </c>
    </row>
    <row r="22" ht="43.5" customHeight="1" s="21">
      <c r="A22" s="24" t="inlineStr">
        <is>
          <t>Lynnwood</t>
        </is>
      </c>
      <c r="B22" s="24" t="inlineStr">
        <is>
          <t>Lynnwood Heating LLC</t>
        </is>
      </c>
      <c r="C22" s="24" t="inlineStr">
        <is>
          <t>(206) 741-6980</t>
        </is>
      </c>
      <c r="D22" s="24" t="inlineStr">
        <is>
          <t>Yes</t>
        </is>
      </c>
      <c r="E22" s="24" t="inlineStr">
        <is>
          <t>hvaclynnwood.com</t>
        </is>
      </c>
      <c r="F22" s="24" t="inlineStr">
        <is>
          <t>Unpolished</t>
        </is>
      </c>
      <c r="G22" s="24" t="n">
        <v>4.8</v>
      </c>
      <c r="H22" s="24" t="n">
        <v>155</v>
      </c>
      <c r="I22" s="25" t="inlineStr">
        <is>
          <t>Warm</t>
        </is>
      </c>
      <c r="J22" s="24" t="n"/>
      <c r="K22" s="24" t="inlineStr">
        <is>
          <t>Large broken-looking blank white gap at top of homepage before content loads; business email is a @gmail.com address</t>
        </is>
      </c>
      <c r="L22" s="24" t="inlineStr">
        <is>
          <t>Google Maps; WebSearch; direct site visit</t>
        </is>
      </c>
      <c r="M22" s="24" t="inlineStr">
        <is>
          <t>2026-07-02</t>
        </is>
      </c>
      <c r="N22" s="26" t="inlineStr">
        <is>
          <t>N</t>
        </is>
      </c>
      <c r="O22" s="26" t="n"/>
      <c r="P22" s="26" t="n"/>
    </row>
    <row r="23" ht="43.5" customHeight="1" s="21">
      <c r="A23" s="24" t="inlineStr">
        <is>
          <t>Monroe</t>
        </is>
      </c>
      <c r="B23" s="24" t="inlineStr">
        <is>
          <t>Genesis Heating, Cooling &amp; Refrigeration</t>
        </is>
      </c>
      <c r="C23" s="24" t="inlineStr">
        <is>
          <t>(425) 261-9095</t>
        </is>
      </c>
      <c r="D23" s="24" t="inlineStr">
        <is>
          <t>Yes</t>
        </is>
      </c>
      <c r="E23" s="24" t="inlineStr">
        <is>
          <t>genesishvacr.com</t>
        </is>
      </c>
      <c r="F23" s="24" t="inlineStr">
        <is>
          <t>Broken / technical issues</t>
        </is>
      </c>
      <c r="G23" s="24" t="n">
        <v>4.8</v>
      </c>
      <c r="H23" s="24" t="n">
        <v>73</v>
      </c>
      <c r="I23" s="25" t="inlineStr">
        <is>
          <t>Warm</t>
        </is>
      </c>
      <c r="J23" s="24" t="n"/>
      <c r="K23" s="24" t="inlineStr">
        <is>
          <t>Broken icon font (tofu boxes) throughout nav/header, large blank empty section below nav where hero content should render</t>
        </is>
      </c>
      <c r="L23" s="24" t="inlineStr">
        <is>
          <t>Google Maps; WebSearch; direct site visit</t>
        </is>
      </c>
      <c r="M23" s="24" t="inlineStr">
        <is>
          <t>2026-07-02</t>
        </is>
      </c>
      <c r="N23" s="26" t="inlineStr">
        <is>
          <t>N</t>
        </is>
      </c>
      <c r="O23" s="26" t="n"/>
      <c r="P23" s="26" t="n"/>
    </row>
    <row r="24" ht="43.5" customHeight="1" s="21">
      <c r="A24" s="24" t="inlineStr">
        <is>
          <t>Oak Harbor</t>
        </is>
      </c>
      <c r="B24" s="24" t="inlineStr">
        <is>
          <t>A&amp;R HVAC LLC</t>
        </is>
      </c>
      <c r="C24" s="24" t="inlineStr">
        <is>
          <t>(360) 499-1829</t>
        </is>
      </c>
      <c r="D24" s="24" t="inlineStr">
        <is>
          <t>Yes (not real site)</t>
        </is>
      </c>
      <c r="E24" s="24" t="inlineStr">
        <is>
          <t>anrhvac.com</t>
        </is>
      </c>
      <c r="F24" s="24" t="inlineStr">
        <is>
          <t>No real site - link-in-bio page</t>
        </is>
      </c>
      <c r="G24" s="24" t="n">
        <v>5</v>
      </c>
      <c r="H24" s="24" t="n">
        <v>67</v>
      </c>
      <c r="I24" s="27" t="inlineStr">
        <is>
          <t>Skip</t>
        </is>
      </c>
      <c r="J24" s="24" t="n"/>
      <c r="K24" s="24" t="inlineStr">
        <is>
          <t>Domain just redirects to a bare "link in bio" style landing page (literal page title), not an actual business website. Business email is a @gmail.com address</t>
        </is>
      </c>
      <c r="L24" s="24" t="inlineStr">
        <is>
          <t>Google Maps; WebSearch; direct site visit</t>
        </is>
      </c>
      <c r="M24" s="24" t="inlineStr">
        <is>
          <t>2026-07-02</t>
        </is>
      </c>
      <c r="N24" s="26" t="inlineStr">
        <is>
          <t>N</t>
        </is>
      </c>
      <c r="O24" s="26" t="n"/>
      <c r="P24" s="26" t="inlineStr">
        <is>
          <t>July 14 — already using Jobber for booking. Skip.</t>
        </is>
      </c>
    </row>
    <row r="25" ht="43.5" customHeight="1" s="21">
      <c r="A25" s="24" t="inlineStr">
        <is>
          <t>Sedro-Woolley</t>
        </is>
      </c>
      <c r="B25" s="24" t="inlineStr">
        <is>
          <t>Right Way Plumbing &amp; Heating</t>
        </is>
      </c>
      <c r="C25" s="24" t="inlineStr">
        <is>
          <t>(360) 855-2665</t>
        </is>
      </c>
      <c r="D25" s="24" t="inlineStr">
        <is>
          <t>Yes</t>
        </is>
      </c>
      <c r="E25" s="24" t="inlineStr">
        <is>
          <t>rightwayplumb-heat.com</t>
        </is>
      </c>
      <c r="F25" s="24" t="inlineStr">
        <is>
          <t>Dated</t>
        </is>
      </c>
      <c r="G25" s="24" t="n">
        <v>4.2</v>
      </c>
      <c r="H25" s="24" t="n">
        <v>33</v>
      </c>
      <c r="I25" s="25" t="inlineStr">
        <is>
          <t>Warm</t>
        </is>
      </c>
      <c r="J25" s="24" t="n"/>
      <c r="K25" s="24" t="inlineStr">
        <is>
          <t>Massively keyword-stuffed page title (SEO spam from an older era), western-saloon style drop-shadow serif font for headings, generic warehouse stock photo</t>
        </is>
      </c>
      <c r="L25" s="24" t="inlineStr">
        <is>
          <t>Google Maps; WebSearch; direct site visit</t>
        </is>
      </c>
      <c r="M25" s="24" t="inlineStr">
        <is>
          <t>2026-07-02</t>
        </is>
      </c>
      <c r="N25" s="26" t="inlineStr">
        <is>
          <t>N</t>
        </is>
      </c>
      <c r="O25" s="26" t="n"/>
      <c r="P25" s="26" t="n"/>
    </row>
    <row r="26" ht="28.5" customHeight="1" s="21">
      <c r="A26" s="24" t="inlineStr">
        <is>
          <t>Sedro-Woolley</t>
        </is>
      </c>
      <c r="B26" s="24" t="inlineStr">
        <is>
          <t>Taxdahl Heating &amp; Air Conditioning</t>
        </is>
      </c>
      <c r="C26" s="24" t="inlineStr">
        <is>
          <t>(360) 708-4675</t>
        </is>
      </c>
      <c r="D26" s="24" t="inlineStr">
        <is>
          <t>Yes</t>
        </is>
      </c>
      <c r="E26" s="24" t="inlineStr">
        <is>
          <t>taxdahlheating.com</t>
        </is>
      </c>
      <c r="F26" s="24" t="inlineStr">
        <is>
          <t>Dated</t>
        </is>
      </c>
      <c r="G26" s="24" t="n">
        <v>4.9</v>
      </c>
      <c r="H26" s="24" t="n">
        <v>31</v>
      </c>
      <c r="I26" s="25" t="inlineStr">
        <is>
          <t>Warm</t>
        </is>
      </c>
      <c r="J26" s="24" t="n"/>
      <c r="K26" s="24" t="inlineStr">
        <is>
          <t>Basic, outdated site design with no lead capture form or modern visual refresh</t>
        </is>
      </c>
      <c r="L26" s="24" t="inlineStr">
        <is>
          <t>Google Maps; WebSearch</t>
        </is>
      </c>
      <c r="M26" s="24" t="inlineStr">
        <is>
          <t>2026-07-02</t>
        </is>
      </c>
      <c r="N26" s="26" t="inlineStr">
        <is>
          <t>N</t>
        </is>
      </c>
      <c r="O26" s="26" t="n"/>
      <c r="P26" s="26" t="n"/>
    </row>
    <row r="27" ht="57.75" customHeight="1" s="21">
      <c r="A27" s="26" t="inlineStr">
        <is>
          <t>Ferndale</t>
        </is>
      </c>
      <c r="B27" s="26" t="inlineStr">
        <is>
          <t>A Plus Heating and Air Conditioning</t>
        </is>
      </c>
      <c r="C27" s="26" t="inlineStr">
        <is>
          <t>(564) 209-4966</t>
        </is>
      </c>
      <c r="D27" s="26" t="inlineStr">
        <is>
          <t>No</t>
        </is>
      </c>
      <c r="E27" s="26" t="inlineStr">
        <is>
          <t>facebook.com (no dedicated site)</t>
        </is>
      </c>
      <c r="F27" s="26" t="inlineStr">
        <is>
          <t>N/A</t>
        </is>
      </c>
      <c r="G27" s="26" t="n">
        <v>5</v>
      </c>
      <c r="H27" s="26" t="n">
        <v>33</v>
      </c>
      <c r="I27" s="29" t="inlineStr">
        <is>
          <t>Hot</t>
        </is>
      </c>
      <c r="J27" s="26" t="inlineStr">
        <is>
          <t>Vlad</t>
        </is>
      </c>
      <c r="K27" s="26" t="inlineStr">
        <is>
          <t>No real website - Maps/search only surfaces a Facebook page as their web presence. Owner Vlad confirmed via multiple reviews ("Vlad and his son were extremely professional...", "Vlad replaced our furnace...").</t>
        </is>
      </c>
      <c r="L27" s="26" t="inlineStr">
        <is>
          <t>Google Maps; WebSearch</t>
        </is>
      </c>
      <c r="M27" s="26" t="inlineStr">
        <is>
          <t>2026-07-02</t>
        </is>
      </c>
      <c r="N27" s="26" t="inlineStr">
        <is>
          <t>Y</t>
        </is>
      </c>
      <c r="O27" s="26" t="inlineStr">
        <is>
          <t>2026-07-14</t>
        </is>
      </c>
      <c r="P27" s="26" t="inlineStr">
        <is>
          <t>Called x2 — no answer both times. Call again. | July 14 — no answer, no voicemail. 3rd attempt. Try before 8am.</t>
        </is>
      </c>
    </row>
    <row r="28" ht="144.75" customHeight="1" s="21">
      <c r="A28" s="26" t="inlineStr">
        <is>
          <t>Port Orchard</t>
        </is>
      </c>
      <c r="B28" s="26" t="inlineStr">
        <is>
          <t>Simons Heating Cooling &amp; Appliance Repair</t>
        </is>
      </c>
      <c r="C28" s="26" t="inlineStr">
        <is>
          <t>(253) 649-9922</t>
        </is>
      </c>
      <c r="D28" s="26" t="inlineStr">
        <is>
          <t>Yes</t>
        </is>
      </c>
      <c r="E28" s="26" t="inlineStr">
        <is>
          <t>simonshvacrepair.com</t>
        </is>
      </c>
      <c r="F28" s="26" t="inlineStr">
        <is>
          <t>Warm - broken/thin site (huge blank white gaps below nav, testimonials section never loads), generic unbranded pill-button nav, no real hero/logo imagery, cheap "by Smartarget" 3rd-party widget badge, gmail contact</t>
        </is>
      </c>
      <c r="G28" s="26" t="n">
        <v>5</v>
      </c>
      <c r="H28" s="26" t="n">
        <v>37</v>
      </c>
      <c r="I28" s="30" t="inlineStr">
        <is>
          <t>Warm</t>
        </is>
      </c>
      <c r="J28" s="26" t="n"/>
      <c r="K28" s="26" t="inlineStr">
        <is>
          <t>3+ red flag signals: broken layout, no branding, cheap widget, gmail email (SIMONSHEATINGCOOLINGAPPLIANCE@GMAIL.COM)</t>
        </is>
      </c>
      <c r="L28" s="26" t="inlineStr">
        <is>
          <t>Google Maps; WebSearch</t>
        </is>
      </c>
      <c r="M28" s="26" t="inlineStr">
        <is>
          <t>2026-07-02</t>
        </is>
      </c>
      <c r="N28" s="26" t="inlineStr">
        <is>
          <t>N</t>
        </is>
      </c>
      <c r="O28" s="26" t="n"/>
      <c r="P28" s="26" t="n"/>
    </row>
    <row r="29" ht="130.5" customHeight="1" s="21">
      <c r="A29" s="26" t="inlineStr">
        <is>
          <t>Ferndale</t>
        </is>
      </c>
      <c r="B29" s="26" t="inlineStr">
        <is>
          <t>Whatcom Heating and Air Conditioning LLC</t>
        </is>
      </c>
      <c r="C29" s="26" t="inlineStr">
        <is>
          <t>(360) 389-7583</t>
        </is>
      </c>
      <c r="D29" s="26" t="inlineStr">
        <is>
          <t>Yes</t>
        </is>
      </c>
      <c r="E29" s="26" t="inlineStr">
        <is>
          <t>whatcomhvac.com</t>
        </is>
      </c>
      <c r="F29" s="26" t="inlineStr">
        <is>
          <t>Warm - severely underbuilt site: plain text-only header (no logo/branding), massive blank gray space below nav with zero hero content/CTA/headline, only a small Facebook icon link</t>
        </is>
      </c>
      <c r="G29" s="26" t="n">
        <v>5</v>
      </c>
      <c r="H29" s="26" t="n">
        <v>31</v>
      </c>
      <c r="I29" s="30" t="inlineStr">
        <is>
          <t>Warm</t>
        </is>
      </c>
      <c r="J29" s="26" t="n"/>
      <c r="K29" s="26" t="inlineStr">
        <is>
          <t>Also serves Lynden - same business. Site is essentially non-functional as a marketing/lead-gen tool despite technically "having a website".</t>
        </is>
      </c>
      <c r="L29" s="26" t="inlineStr">
        <is>
          <t>Google Maps; WebSearch</t>
        </is>
      </c>
      <c r="M29" s="26" t="inlineStr">
        <is>
          <t>2026-07-02</t>
        </is>
      </c>
      <c r="N29" s="26" t="inlineStr">
        <is>
          <t>N</t>
        </is>
      </c>
      <c r="O29" s="26" t="n"/>
      <c r="P29" s="26" t="n"/>
    </row>
    <row r="30" ht="15.75" customHeight="1" s="21">
      <c r="A30" s="26" t="inlineStr">
        <is>
          <t>Port Orchard</t>
        </is>
      </c>
      <c r="B30" s="26" t="inlineStr">
        <is>
          <t>Air Anderson Inc.</t>
        </is>
      </c>
      <c r="C30" s="26" t="inlineStr">
        <is>
          <t>(360) 674-7125</t>
        </is>
      </c>
      <c r="D30" s="26" t="inlineStr">
        <is>
          <t>Yes</t>
        </is>
      </c>
      <c r="E30" s="26" t="n"/>
      <c r="F30" s="26" t="inlineStr">
        <is>
          <t>Not assessed</t>
        </is>
      </c>
      <c r="G30" s="26" t="n">
        <v>4.2</v>
      </c>
      <c r="H30" s="26" t="n">
        <v>15</v>
      </c>
      <c r="I30" s="31" t="inlineStr">
        <is>
          <t>Watch</t>
        </is>
      </c>
      <c r="J30" s="26" t="n"/>
      <c r="K30" s="26" t="inlineStr">
        <is>
          <t>Below 25+ review threshold - recheck later</t>
        </is>
      </c>
      <c r="L30" s="26" t="inlineStr">
        <is>
          <t>Google Maps</t>
        </is>
      </c>
      <c r="M30" s="26" t="inlineStr">
        <is>
          <t>2026-07-02</t>
        </is>
      </c>
      <c r="N30" s="26" t="inlineStr">
        <is>
          <t>N</t>
        </is>
      </c>
      <c r="O30" s="26" t="n"/>
      <c r="P30" s="26" t="n"/>
    </row>
    <row r="31" ht="28.5" customHeight="1" s="21">
      <c r="A31" s="26" t="inlineStr">
        <is>
          <t>Port Orchard</t>
        </is>
      </c>
      <c r="B31" s="26" t="inlineStr">
        <is>
          <t>A &amp; M Heating</t>
        </is>
      </c>
      <c r="C31" s="26" t="inlineStr">
        <is>
          <t>(360) 895-8580</t>
        </is>
      </c>
      <c r="D31" s="26" t="inlineStr">
        <is>
          <t>No</t>
        </is>
      </c>
      <c r="E31" s="26" t="inlineStr">
        <is>
          <t>N/A</t>
        </is>
      </c>
      <c r="F31" s="26" t="inlineStr">
        <is>
          <t>N/A</t>
        </is>
      </c>
      <c r="G31" s="26" t="n">
        <v>4.5</v>
      </c>
      <c r="H31" s="26" t="n">
        <v>15</v>
      </c>
      <c r="I31" s="31" t="inlineStr">
        <is>
          <t>Watch</t>
        </is>
      </c>
      <c r="J31" s="26" t="n"/>
      <c r="K31" s="26" t="inlineStr">
        <is>
          <t>No website shown on Maps; below 25+ review threshold - recheck later</t>
        </is>
      </c>
      <c r="L31" s="26" t="inlineStr">
        <is>
          <t>Google Maps</t>
        </is>
      </c>
      <c r="M31" s="26" t="inlineStr">
        <is>
          <t>2026-07-02</t>
        </is>
      </c>
      <c r="N31" s="26" t="inlineStr">
        <is>
          <t>N</t>
        </is>
      </c>
      <c r="O31" s="26" t="n"/>
      <c r="P31" s="26" t="n"/>
    </row>
    <row r="32" ht="28.5" customHeight="1" s="21">
      <c r="A32" s="26" t="inlineStr">
        <is>
          <t>Poulsbo</t>
        </is>
      </c>
      <c r="B32" s="26" t="inlineStr">
        <is>
          <t>YJK Dryer vent &amp; Air Duct Cleaning Services</t>
        </is>
      </c>
      <c r="C32" s="26" t="inlineStr">
        <is>
          <t>(360) 276-5825</t>
        </is>
      </c>
      <c r="D32" s="26" t="inlineStr">
        <is>
          <t>No</t>
        </is>
      </c>
      <c r="E32" s="26" t="inlineStr">
        <is>
          <t>N/A</t>
        </is>
      </c>
      <c r="F32" s="26" t="inlineStr">
        <is>
          <t>N/A</t>
        </is>
      </c>
      <c r="G32" s="26" t="n">
        <v>4.6</v>
      </c>
      <c r="H32" s="26" t="n">
        <v>20</v>
      </c>
      <c r="I32" s="31" t="inlineStr">
        <is>
          <t>Watch</t>
        </is>
      </c>
      <c r="J32" s="26" t="n"/>
      <c r="K32" s="26" t="inlineStr">
        <is>
          <t>Below 25+ review threshold; narrower duct-cleaning scope rather than full HVAC - recheck later</t>
        </is>
      </c>
      <c r="L32" s="26" t="inlineStr">
        <is>
          <t>Google Maps</t>
        </is>
      </c>
      <c r="M32" s="26" t="inlineStr">
        <is>
          <t>2026-07-02</t>
        </is>
      </c>
      <c r="N32" s="26" t="inlineStr">
        <is>
          <t>N</t>
        </is>
      </c>
      <c r="O32" s="26" t="n"/>
      <c r="P32" s="26" t="n"/>
    </row>
    <row r="33" ht="15.75" customHeight="1" s="21">
      <c r="A33" s="26" t="inlineStr">
        <is>
          <t>Silverdale</t>
        </is>
      </c>
      <c r="B33" s="26" t="inlineStr">
        <is>
          <t>Brooks Comfort Zone LLC</t>
        </is>
      </c>
      <c r="C33" s="26" t="inlineStr">
        <is>
          <t>(360) 643-0539</t>
        </is>
      </c>
      <c r="D33" s="26" t="inlineStr">
        <is>
          <t>Yes</t>
        </is>
      </c>
      <c r="E33" s="26" t="n"/>
      <c r="F33" s="26" t="inlineStr">
        <is>
          <t>Not assessed</t>
        </is>
      </c>
      <c r="G33" s="26" t="n">
        <v>4.1</v>
      </c>
      <c r="H33" s="26" t="n">
        <v>23</v>
      </c>
      <c r="I33" s="31" t="inlineStr">
        <is>
          <t>Watch</t>
        </is>
      </c>
      <c r="J33" s="26" t="n"/>
      <c r="K33" s="26" t="inlineStr">
        <is>
          <t>Below 25+ review threshold - recheck later</t>
        </is>
      </c>
      <c r="L33" s="26" t="inlineStr">
        <is>
          <t>Google Maps</t>
        </is>
      </c>
      <c r="M33" s="26" t="inlineStr">
        <is>
          <t>2026-07-02</t>
        </is>
      </c>
      <c r="N33" s="26" t="inlineStr">
        <is>
          <t>N</t>
        </is>
      </c>
      <c r="O33" s="26" t="n"/>
      <c r="P33" s="26" t="n"/>
    </row>
    <row r="34" ht="15.75" customHeight="1" s="21">
      <c r="A34" s="26" t="inlineStr">
        <is>
          <t>Silverdale</t>
        </is>
      </c>
      <c r="B34" s="26" t="inlineStr">
        <is>
          <t>Mayda &amp; Sons Mechanical</t>
        </is>
      </c>
      <c r="C34" s="26" t="inlineStr">
        <is>
          <t>(360) 692-9003</t>
        </is>
      </c>
      <c r="D34" s="26" t="inlineStr">
        <is>
          <t>Yes</t>
        </is>
      </c>
      <c r="E34" s="26" t="n"/>
      <c r="F34" s="26" t="inlineStr">
        <is>
          <t>Not assessed</t>
        </is>
      </c>
      <c r="G34" s="26" t="n">
        <v>4.7</v>
      </c>
      <c r="H34" s="26" t="n">
        <v>15</v>
      </c>
      <c r="I34" s="31" t="inlineStr">
        <is>
          <t>Watch</t>
        </is>
      </c>
      <c r="J34" s="26" t="n"/>
      <c r="K34" s="26" t="inlineStr">
        <is>
          <t>Below 25+ review threshold - recheck later</t>
        </is>
      </c>
      <c r="L34" s="26" t="inlineStr">
        <is>
          <t>Google Maps</t>
        </is>
      </c>
      <c r="M34" s="26" t="inlineStr">
        <is>
          <t>2026-07-02</t>
        </is>
      </c>
      <c r="N34" s="26" t="inlineStr">
        <is>
          <t>N</t>
        </is>
      </c>
      <c r="O34" s="26" t="n"/>
      <c r="P34" s="26" t="n"/>
    </row>
    <row r="35" ht="15.75" customHeight="1" s="21">
      <c r="A35" s="26" t="inlineStr">
        <is>
          <t>Ferndale</t>
        </is>
      </c>
      <c r="B35" s="26" t="inlineStr">
        <is>
          <t>Andy Refrigeration</t>
        </is>
      </c>
      <c r="C35" s="26" t="inlineStr">
        <is>
          <t>(360) 820-9801</t>
        </is>
      </c>
      <c r="D35" s="26" t="inlineStr">
        <is>
          <t>Yes</t>
        </is>
      </c>
      <c r="E35" s="26" t="n"/>
      <c r="F35" s="26" t="inlineStr">
        <is>
          <t>Not assessed</t>
        </is>
      </c>
      <c r="G35" s="26" t="n">
        <v>4.1</v>
      </c>
      <c r="H35" s="26" t="n">
        <v>12</v>
      </c>
      <c r="I35" s="31" t="inlineStr">
        <is>
          <t>Watch</t>
        </is>
      </c>
      <c r="J35" s="26" t="n"/>
      <c r="K35" s="26" t="inlineStr">
        <is>
          <t>Below 25+ review threshold - recheck later</t>
        </is>
      </c>
      <c r="L35" s="26" t="inlineStr">
        <is>
          <t>Google Maps</t>
        </is>
      </c>
      <c r="M35" s="26" t="inlineStr">
        <is>
          <t>2026-07-02</t>
        </is>
      </c>
      <c r="N35" s="26" t="inlineStr">
        <is>
          <t>N</t>
        </is>
      </c>
      <c r="O35" s="26" t="n"/>
      <c r="P35" s="26" t="n"/>
    </row>
    <row r="36" ht="15.75" customHeight="1" s="21">
      <c r="A36" s="26" t="inlineStr">
        <is>
          <t>Ferndale</t>
        </is>
      </c>
      <c r="B36" s="26" t="inlineStr">
        <is>
          <t>Mumm's LLC Heating &amp; A/C contractor</t>
        </is>
      </c>
      <c r="C36" s="26" t="inlineStr">
        <is>
          <t>(360) 201-4822</t>
        </is>
      </c>
      <c r="D36" s="26" t="inlineStr">
        <is>
          <t>Yes</t>
        </is>
      </c>
      <c r="E36" s="26" t="n"/>
      <c r="F36" s="26" t="inlineStr">
        <is>
          <t>Not assessed</t>
        </is>
      </c>
      <c r="G36" s="26" t="n">
        <v>4.8</v>
      </c>
      <c r="H36" s="26" t="n">
        <v>12</v>
      </c>
      <c r="I36" s="31" t="inlineStr">
        <is>
          <t>Watch</t>
        </is>
      </c>
      <c r="J36" s="26" t="n"/>
      <c r="K36" s="26" t="inlineStr">
        <is>
          <t>Below 25+ review threshold - recheck later</t>
        </is>
      </c>
      <c r="L36" s="26" t="inlineStr">
        <is>
          <t>Google Maps</t>
        </is>
      </c>
      <c r="M36" s="26" t="inlineStr">
        <is>
          <t>2026-07-02</t>
        </is>
      </c>
      <c r="N36" s="26" t="inlineStr">
        <is>
          <t>N</t>
        </is>
      </c>
      <c r="O36" s="26" t="n"/>
      <c r="P36" s="26" t="n"/>
    </row>
    <row r="37" ht="43.5" customHeight="1" s="21">
      <c r="A37" s="26" t="inlineStr">
        <is>
          <t>Lynden</t>
        </is>
      </c>
      <c r="B37" s="26" t="inlineStr">
        <is>
          <t>Solera Hurley HVAC Contractor Lynden</t>
        </is>
      </c>
      <c r="C37" s="26" t="inlineStr">
        <is>
          <t>(253) 367-2447</t>
        </is>
      </c>
      <c r="D37" s="26" t="inlineStr">
        <is>
          <t>No</t>
        </is>
      </c>
      <c r="E37" s="26" t="inlineStr">
        <is>
          <t>N/A</t>
        </is>
      </c>
      <c r="F37" s="26" t="inlineStr">
        <is>
          <t>N/A</t>
        </is>
      </c>
      <c r="G37" s="26" t="n">
        <v>5</v>
      </c>
      <c r="H37" s="26" t="n">
        <v>10</v>
      </c>
      <c r="I37" s="31" t="inlineStr">
        <is>
          <t>Watch</t>
        </is>
      </c>
      <c r="J37" s="26" t="n"/>
      <c r="K37" s="26" t="inlineStr">
        <is>
          <t>No website shown on Maps; below 25+ review threshold. Name suggests possible franchise/rebrand - worth rechecking as it grows</t>
        </is>
      </c>
      <c r="L37" s="26" t="inlineStr">
        <is>
          <t>Google Maps</t>
        </is>
      </c>
      <c r="M37" s="26" t="inlineStr">
        <is>
          <t>2026-07-02</t>
        </is>
      </c>
      <c r="N37" s="26" t="inlineStr">
        <is>
          <t>N</t>
        </is>
      </c>
      <c r="O37" s="26" t="n"/>
      <c r="P37" s="26" t="n"/>
    </row>
    <row r="38" ht="28.5" customHeight="1" s="21">
      <c r="A38" s="26" t="inlineStr">
        <is>
          <t>Lynden</t>
        </is>
      </c>
      <c r="B38" s="26" t="inlineStr">
        <is>
          <t>Reliance Indoor Air Quality Heating &amp; Air Conditioning</t>
        </is>
      </c>
      <c r="C38" s="26" t="inlineStr">
        <is>
          <t>(360) 410-9159</t>
        </is>
      </c>
      <c r="D38" s="26" t="inlineStr">
        <is>
          <t>Yes</t>
        </is>
      </c>
      <c r="E38" s="26" t="n"/>
      <c r="F38" s="26" t="inlineStr">
        <is>
          <t>Not assessed</t>
        </is>
      </c>
      <c r="G38" s="26" t="n">
        <v>4.8</v>
      </c>
      <c r="H38" s="26" t="n">
        <v>16</v>
      </c>
      <c r="I38" s="31" t="inlineStr">
        <is>
          <t>Watch</t>
        </is>
      </c>
      <c r="J38" s="26" t="n"/>
      <c r="K38" s="26" t="inlineStr">
        <is>
          <t>Below 25+ review threshold - recheck later</t>
        </is>
      </c>
      <c r="L38" s="26" t="inlineStr">
        <is>
          <t>Google Maps</t>
        </is>
      </c>
      <c r="M38" s="26" t="inlineStr">
        <is>
          <t>2026-07-02</t>
        </is>
      </c>
      <c r="N38" s="26" t="inlineStr">
        <is>
          <t>Y</t>
        </is>
      </c>
      <c r="O38" s="26" t="inlineStr">
        <is>
          <t>2026-07-09</t>
        </is>
      </c>
      <c r="P38" s="26" t="inlineStr">
        <is>
          <t>VERBAL YES — free case study. Justin on rooftop, said text him the link. Follow up with text NOW.</t>
        </is>
      </c>
    </row>
    <row r="39" ht="28.5" customHeight="1" s="21">
      <c r="A39" s="26" t="inlineStr">
        <is>
          <t>Yelm</t>
        </is>
      </c>
      <c r="B39" s="26" t="inlineStr">
        <is>
          <t>Manus Mechanical</t>
        </is>
      </c>
      <c r="C39" s="26" t="inlineStr">
        <is>
          <t>(253) 248-5925</t>
        </is>
      </c>
      <c r="D39" s="26" t="inlineStr">
        <is>
          <t>No</t>
        </is>
      </c>
      <c r="E39" s="26" t="inlineStr">
        <is>
          <t>N/A</t>
        </is>
      </c>
      <c r="F39" s="26" t="inlineStr">
        <is>
          <t>No website - Maps shows "Add website" prompt</t>
        </is>
      </c>
      <c r="G39" s="26" t="n">
        <v>5</v>
      </c>
      <c r="H39" s="26" t="n">
        <v>26</v>
      </c>
      <c r="I39" s="29" t="inlineStr">
        <is>
          <t>Hot</t>
        </is>
      </c>
      <c r="J39" s="26" t="inlineStr">
        <is>
          <t>Alex Manus</t>
        </is>
      </c>
      <c r="K39" s="26" t="inlineStr">
        <is>
          <t>No website at all, confirmed via Maps "Add missing information" prompt. Owner name confirmed via reviews.</t>
        </is>
      </c>
      <c r="L39" s="26" t="inlineStr">
        <is>
          <t>Google Maps</t>
        </is>
      </c>
      <c r="M39" s="26" t="inlineStr">
        <is>
          <t>2026-07-02</t>
        </is>
      </c>
      <c r="N39" s="26" t="inlineStr">
        <is>
          <t>Y</t>
        </is>
      </c>
      <c r="O39" s="26" t="inlineStr">
        <is>
          <t>2026-07-09</t>
        </is>
      </c>
      <c r="P39" s="26" t="inlineStr">
        <is>
          <t>Called x2 + callback — not interested. Do not call again.</t>
        </is>
      </c>
    </row>
    <row r="40" ht="43.5" customHeight="1" s="21">
      <c r="A40" s="26" t="inlineStr">
        <is>
          <t>Yelm</t>
        </is>
      </c>
      <c r="B40" s="26" t="inlineStr">
        <is>
          <t>Ed's Heating and Cooling LLC</t>
        </is>
      </c>
      <c r="C40" s="26" t="inlineStr">
        <is>
          <t>(253) 753-8177</t>
        </is>
      </c>
      <c r="D40" s="26" t="inlineStr">
        <is>
          <t>Yes (dead)</t>
        </is>
      </c>
      <c r="E40" s="26" t="inlineStr">
        <is>
          <t>edsheatingandcoolingwa.com</t>
        </is>
      </c>
      <c r="F40" s="26" t="inlineStr">
        <is>
          <t>Domain dead - "Domain not found"/privacy error on https and http</t>
        </is>
      </c>
      <c r="G40" s="26" t="n">
        <v>5</v>
      </c>
      <c r="H40" s="26" t="n">
        <v>231</v>
      </c>
      <c r="I40" s="29" t="inlineStr">
        <is>
          <t>Hot</t>
        </is>
      </c>
      <c r="J40" s="26" t="n"/>
      <c r="K40" s="26" t="inlineStr">
        <is>
          <t>Best find of Round 6 - 231 reviews, 5.0 stars, but domain completely dead on both https and http.</t>
        </is>
      </c>
      <c r="L40" s="26" t="inlineStr">
        <is>
          <t>Google Maps</t>
        </is>
      </c>
      <c r="M40" s="26" t="inlineStr">
        <is>
          <t>2026-07-02</t>
        </is>
      </c>
      <c r="N40" s="26" t="inlineStr">
        <is>
          <t>Y</t>
        </is>
      </c>
      <c r="O40" s="26" t="inlineStr">
        <is>
          <t>2026-07-14</t>
        </is>
      </c>
      <c r="P40" s="26" t="inlineStr">
        <is>
          <t>Called x2 — voicemail both times. Left voicemail on 2nd attempt. Call again Day 5. | July 14 — 3rd attempt, voicemail left. Said: tried a couple times, have a system to capture missed calls so they don't lose prospects. Left callback #.</t>
        </is>
      </c>
    </row>
    <row r="41" ht="15.75" customHeight="1" s="21">
      <c r="A41" s="26" t="inlineStr">
        <is>
          <t>Yelm</t>
        </is>
      </c>
      <c r="B41" s="26" t="inlineStr">
        <is>
          <t>A'ALONA HVAC SOLUTIONS LLC</t>
        </is>
      </c>
      <c r="C41" s="26" t="inlineStr">
        <is>
          <t>(866) 332-0926</t>
        </is>
      </c>
      <c r="D41" s="26" t="inlineStr">
        <is>
          <t>Unknown</t>
        </is>
      </c>
      <c r="E41" s="26" t="n"/>
      <c r="F41" s="26" t="inlineStr">
        <is>
          <t>Not assessed</t>
        </is>
      </c>
      <c r="G41" s="26" t="n">
        <v>5</v>
      </c>
      <c r="H41" s="26" t="n">
        <v>5</v>
      </c>
      <c r="I41" s="31" t="inlineStr">
        <is>
          <t>Watch</t>
        </is>
      </c>
      <c r="J41" s="26" t="n"/>
      <c r="K41" s="26" t="inlineStr">
        <is>
          <t>Below 25+ review threshold - recheck later.</t>
        </is>
      </c>
      <c r="L41" s="26" t="inlineStr">
        <is>
          <t>Google Maps</t>
        </is>
      </c>
      <c r="M41" s="26" t="inlineStr">
        <is>
          <t>2026-07-02</t>
        </is>
      </c>
      <c r="N41" s="26" t="inlineStr">
        <is>
          <t>N</t>
        </is>
      </c>
      <c r="O41" s="26" t="n"/>
      <c r="P41" s="26" t="n"/>
    </row>
    <row r="42" ht="28.5" customHeight="1" s="21">
      <c r="A42" s="26" t="inlineStr">
        <is>
          <t>Yelm</t>
        </is>
      </c>
      <c r="B42" s="26" t="inlineStr">
        <is>
          <t>A'alona HVAC Solutions</t>
        </is>
      </c>
      <c r="C42" s="26" t="inlineStr">
        <is>
          <t>(206) 375-2851</t>
        </is>
      </c>
      <c r="D42" s="26" t="inlineStr">
        <is>
          <t>Unknown</t>
        </is>
      </c>
      <c r="E42" s="26" t="n"/>
      <c r="F42" s="26" t="inlineStr">
        <is>
          <t>Not assessed</t>
        </is>
      </c>
      <c r="G42" s="26" t="n">
        <v>5</v>
      </c>
      <c r="H42" s="26" t="n">
        <v>8</v>
      </c>
      <c r="I42" s="31" t="inlineStr">
        <is>
          <t>Watch</t>
        </is>
      </c>
      <c r="J42" s="26" t="n"/>
      <c r="K42" s="26" t="inlineStr">
        <is>
          <t>Below 25+ review threshold - possible second location of same brand as above. Recheck later.</t>
        </is>
      </c>
      <c r="L42" s="26" t="inlineStr">
        <is>
          <t>Google Maps</t>
        </is>
      </c>
      <c r="M42" s="26" t="inlineStr">
        <is>
          <t>2026-07-02</t>
        </is>
      </c>
      <c r="N42" s="26" t="inlineStr">
        <is>
          <t>N</t>
        </is>
      </c>
      <c r="O42" s="26" t="n"/>
      <c r="P42" s="26" t="n"/>
    </row>
    <row r="43" ht="28.5" customHeight="1" s="21">
      <c r="A43" s="26" t="inlineStr">
        <is>
          <t>Orting</t>
        </is>
      </c>
      <c r="B43" s="26" t="inlineStr">
        <is>
          <t>Washington HVAC Heating Service</t>
        </is>
      </c>
      <c r="C43" s="26" t="inlineStr">
        <is>
          <t>(360) 323-1444</t>
        </is>
      </c>
      <c r="D43" s="26" t="inlineStr">
        <is>
          <t>No</t>
        </is>
      </c>
      <c r="E43" s="26" t="inlineStr">
        <is>
          <t>N/A</t>
        </is>
      </c>
      <c r="F43" s="26" t="inlineStr">
        <is>
          <t>No website shown on Maps</t>
        </is>
      </c>
      <c r="G43" s="26" t="n">
        <v>5</v>
      </c>
      <c r="H43" s="26" t="n">
        <v>4</v>
      </c>
      <c r="I43" s="31" t="inlineStr">
        <is>
          <t>Watch</t>
        </is>
      </c>
      <c r="J43" s="26" t="n"/>
      <c r="K43" s="26" t="inlineStr">
        <is>
          <t>Genuinely Orting-based (134 Washington Ave SE), no website, but below 25+ threshold. Recheck later.</t>
        </is>
      </c>
      <c r="L43" s="26" t="inlineStr">
        <is>
          <t>Google Maps</t>
        </is>
      </c>
      <c r="M43" s="26" t="inlineStr">
        <is>
          <t>2026-07-02</t>
        </is>
      </c>
      <c r="N43" s="26" t="inlineStr">
        <is>
          <t>N</t>
        </is>
      </c>
      <c r="O43" s="26" t="n"/>
      <c r="P43" s="26" t="n"/>
    </row>
    <row r="44" ht="15.75" customHeight="1" s="21">
      <c r="A44" s="26" t="inlineStr">
        <is>
          <t>Eatonville</t>
        </is>
      </c>
      <c r="B44" s="26" t="inlineStr">
        <is>
          <t>Glacier Peak Mechanical LLC</t>
        </is>
      </c>
      <c r="C44" s="26" t="inlineStr">
        <is>
          <t>(253) 228-0009</t>
        </is>
      </c>
      <c r="D44" s="26" t="inlineStr">
        <is>
          <t>Unknown</t>
        </is>
      </c>
      <c r="E44" s="26" t="n"/>
      <c r="F44" s="26" t="inlineStr">
        <is>
          <t>Not assessed</t>
        </is>
      </c>
      <c r="G44" s="26" t="n">
        <v>5</v>
      </c>
      <c r="H44" s="26" t="n">
        <v>17</v>
      </c>
      <c r="I44" s="31" t="inlineStr">
        <is>
          <t>Watch</t>
        </is>
      </c>
      <c r="J44" s="26" t="n"/>
      <c r="K44" s="26" t="inlineStr">
        <is>
          <t>Below 25+ review threshold - recheck later.</t>
        </is>
      </c>
      <c r="L44" s="26" t="inlineStr">
        <is>
          <t>Google Maps</t>
        </is>
      </c>
      <c r="M44" s="26" t="inlineStr">
        <is>
          <t>2026-07-02</t>
        </is>
      </c>
      <c r="N44" s="26" t="inlineStr">
        <is>
          <t>N</t>
        </is>
      </c>
      <c r="O44" s="26" t="n"/>
      <c r="P44" s="26" t="n"/>
    </row>
    <row r="45" ht="15.75" customHeight="1" s="21">
      <c r="A45" s="26" t="inlineStr">
        <is>
          <t>Buckley</t>
        </is>
      </c>
      <c r="B45" s="26" t="inlineStr">
        <is>
          <t>Proaire Heating &amp; Cooling Corp</t>
        </is>
      </c>
      <c r="C45" s="26" t="inlineStr">
        <is>
          <t>(253) 225-2586</t>
        </is>
      </c>
      <c r="D45" s="26" t="inlineStr">
        <is>
          <t>Unknown</t>
        </is>
      </c>
      <c r="E45" s="26" t="n"/>
      <c r="F45" s="26" t="inlineStr">
        <is>
          <t>Not assessed</t>
        </is>
      </c>
      <c r="G45" s="26" t="n">
        <v>4.4</v>
      </c>
      <c r="H45" s="26" t="n">
        <v>9</v>
      </c>
      <c r="I45" s="31" t="inlineStr">
        <is>
          <t>Watch</t>
        </is>
      </c>
      <c r="J45" s="26" t="n"/>
      <c r="K45" s="26" t="inlineStr">
        <is>
          <t>Below 25+ review threshold - recheck later.</t>
        </is>
      </c>
      <c r="L45" s="26" t="inlineStr">
        <is>
          <t>Google Maps</t>
        </is>
      </c>
      <c r="M45" s="26" t="inlineStr">
        <is>
          <t>2026-07-02</t>
        </is>
      </c>
      <c r="N45" s="26" t="inlineStr">
        <is>
          <t>N</t>
        </is>
      </c>
      <c r="O45" s="26" t="n"/>
      <c r="P45" s="26" t="n"/>
    </row>
    <row r="46" ht="72" customHeight="1" s="21">
      <c r="A46" s="26" t="inlineStr">
        <is>
          <t>Port Angeles</t>
        </is>
      </c>
      <c r="B46" s="26" t="inlineStr">
        <is>
          <t>Dave's Heating &amp; Cooling Service, Inc.</t>
        </is>
      </c>
      <c r="C46" s="26" t="inlineStr">
        <is>
          <t>(360) 452-0939</t>
        </is>
      </c>
      <c r="D46" s="26" t="inlineStr">
        <is>
          <t>Yes (broken)</t>
        </is>
      </c>
      <c r="E46" s="26" t="inlineStr">
        <is>
          <t>davesheatingpa.com</t>
        </is>
      </c>
      <c r="F46" s="26" t="inlineStr">
        <is>
          <t>Broken/missing hero image (large black void) + duplicated boilerplate copy reused verbatim across sections</t>
        </is>
      </c>
      <c r="G46" s="26" t="n">
        <v>5</v>
      </c>
      <c r="H46" s="26" t="n">
        <v>33</v>
      </c>
      <c r="I46" s="30" t="inlineStr">
        <is>
          <t>Warm</t>
        </is>
      </c>
      <c r="J46" s="26" t="inlineStr">
        <is>
          <t>Paul Todd Reed (L&amp;I principal)</t>
        </is>
      </c>
      <c r="K46" s="26" t="inlineStr">
        <is>
          <t>2 red-flag signals per Step 4 checklist.</t>
        </is>
      </c>
      <c r="L46" s="26" t="inlineStr">
        <is>
          <t>Google Maps</t>
        </is>
      </c>
      <c r="M46" s="26" t="inlineStr">
        <is>
          <t>2026-07-02</t>
        </is>
      </c>
      <c r="N46" s="26" t="inlineStr">
        <is>
          <t>N</t>
        </is>
      </c>
      <c r="O46" s="26" t="n"/>
      <c r="P46" s="26" t="n"/>
    </row>
    <row r="47" ht="15.75" customHeight="1" s="21">
      <c r="A47" s="26" t="inlineStr">
        <is>
          <t>Port Angeles</t>
        </is>
      </c>
      <c r="B47" s="26" t="inlineStr">
        <is>
          <t>Strait Comfort Systems</t>
        </is>
      </c>
      <c r="C47" s="26" t="inlineStr">
        <is>
          <t>(360) 565-5191</t>
        </is>
      </c>
      <c r="D47" s="26" t="inlineStr">
        <is>
          <t>Unknown</t>
        </is>
      </c>
      <c r="E47" s="26" t="n"/>
      <c r="F47" s="26" t="inlineStr">
        <is>
          <t>Not assessed</t>
        </is>
      </c>
      <c r="G47" s="26" t="n">
        <v>5</v>
      </c>
      <c r="H47" s="26" t="n">
        <v>19</v>
      </c>
      <c r="I47" s="31" t="inlineStr">
        <is>
          <t>Watch</t>
        </is>
      </c>
      <c r="J47" s="26" t="n"/>
      <c r="K47" s="26" t="inlineStr">
        <is>
          <t>Below 25+ review threshold - recheck later.</t>
        </is>
      </c>
      <c r="L47" s="26" t="inlineStr">
        <is>
          <t>Google Maps</t>
        </is>
      </c>
      <c r="M47" s="26" t="inlineStr">
        <is>
          <t>2026-07-02</t>
        </is>
      </c>
      <c r="N47" s="26" t="inlineStr">
        <is>
          <t>N</t>
        </is>
      </c>
      <c r="O47" s="26" t="n"/>
      <c r="P47" s="26" t="n"/>
    </row>
    <row r="48" ht="15.75" customHeight="1" s="21">
      <c r="A48" s="26" t="inlineStr">
        <is>
          <t>Port Angeles</t>
        </is>
      </c>
      <c r="B48" s="26" t="inlineStr">
        <is>
          <t>Nice Guy Heating and Air</t>
        </is>
      </c>
      <c r="C48" s="26" t="inlineStr">
        <is>
          <t>(360) 775-6625</t>
        </is>
      </c>
      <c r="D48" s="26" t="inlineStr">
        <is>
          <t>Unknown</t>
        </is>
      </c>
      <c r="E48" s="26" t="n"/>
      <c r="F48" s="26" t="inlineStr">
        <is>
          <t>Not assessed</t>
        </is>
      </c>
      <c r="G48" s="26" t="n">
        <v>5</v>
      </c>
      <c r="H48" s="26" t="n">
        <v>15</v>
      </c>
      <c r="I48" s="31" t="inlineStr">
        <is>
          <t>Watch</t>
        </is>
      </c>
      <c r="J48" s="26" t="n"/>
      <c r="K48" s="26" t="inlineStr">
        <is>
          <t>Below 25+ review threshold - recheck later.</t>
        </is>
      </c>
      <c r="L48" s="26" t="inlineStr">
        <is>
          <t>Google Maps</t>
        </is>
      </c>
      <c r="M48" s="26" t="inlineStr">
        <is>
          <t>2026-07-02</t>
        </is>
      </c>
      <c r="N48" s="26" t="inlineStr">
        <is>
          <t>N</t>
        </is>
      </c>
      <c r="O48" s="26" t="n"/>
      <c r="P48" s="26" t="n"/>
    </row>
    <row r="49" ht="43.5" customHeight="1" s="21">
      <c r="A49" s="26" t="inlineStr">
        <is>
          <t>Sequim</t>
        </is>
      </c>
      <c r="B49" s="26" t="inlineStr">
        <is>
          <t>Knight Heating and Cooling</t>
        </is>
      </c>
      <c r="C49" s="26" t="inlineStr">
        <is>
          <t>(360) 797-4505</t>
        </is>
      </c>
      <c r="D49" s="26" t="inlineStr">
        <is>
          <t>No</t>
        </is>
      </c>
      <c r="E49" s="26" t="inlineStr">
        <is>
          <t>N/A</t>
        </is>
      </c>
      <c r="F49" s="26" t="inlineStr">
        <is>
          <t>No website - Maps shows "Add website" prompt</t>
        </is>
      </c>
      <c r="G49" s="26" t="n">
        <v>4.7</v>
      </c>
      <c r="H49" s="26" t="n">
        <v>37</v>
      </c>
      <c r="I49" s="29" t="inlineStr">
        <is>
          <t>Dead</t>
        </is>
      </c>
      <c r="J49" s="26" t="n"/>
      <c r="K49" s="26" t="inlineStr">
        <is>
          <t>No website at all, confirmed via Maps "Add missing information" prompt. One negative review re: thermostat dispute but overall rating still clears bar.</t>
        </is>
      </c>
      <c r="L49" s="26" t="inlineStr">
        <is>
          <t>Google Maps</t>
        </is>
      </c>
      <c r="M49" s="26" t="inlineStr">
        <is>
          <t>2026-07-02</t>
        </is>
      </c>
      <c r="N49" s="26" t="inlineStr">
        <is>
          <t>Y</t>
        </is>
      </c>
      <c r="O49" s="26" t="inlineStr">
        <is>
          <t>2026-07-14</t>
        </is>
      </c>
      <c r="P49" s="26" t="inlineStr">
        <is>
          <t>July 14 — number disconnected/changed. Dead lead.</t>
        </is>
      </c>
    </row>
    <row r="50" ht="43.5" customHeight="1" s="21">
      <c r="A50" s="26" t="inlineStr">
        <is>
          <t>Everson</t>
        </is>
      </c>
      <c r="B50" s="26" t="inlineStr">
        <is>
          <t>Aeon Mechanical LLC</t>
        </is>
      </c>
      <c r="C50" s="26" t="n"/>
      <c r="D50" s="26" t="inlineStr">
        <is>
          <t>Unknown</t>
        </is>
      </c>
      <c r="E50" s="26" t="n"/>
      <c r="F50" s="26" t="inlineStr">
        <is>
          <t>Not assessed</t>
        </is>
      </c>
      <c r="G50" s="26" t="n">
        <v>5</v>
      </c>
      <c r="H50" s="26" t="n">
        <v>19</v>
      </c>
      <c r="I50" s="31" t="inlineStr">
        <is>
          <t>Watch</t>
        </is>
      </c>
      <c r="J50" s="26" t="n"/>
      <c r="K50" s="26" t="inlineStr">
        <is>
          <t>Below 25+ review threshold; category listed as general "Contractor" not confirmed HVAC-specific - verify category before treating as live lead.</t>
        </is>
      </c>
      <c r="L50" s="26" t="inlineStr">
        <is>
          <t>Google Maps</t>
        </is>
      </c>
      <c r="M50" s="26" t="inlineStr">
        <is>
          <t>2026-07-02</t>
        </is>
      </c>
      <c r="N50" s="26" t="inlineStr">
        <is>
          <t>N</t>
        </is>
      </c>
      <c r="O50" s="26" t="n"/>
      <c r="P50" s="26" t="n"/>
    </row>
    <row r="51" ht="43.5" customHeight="1" s="21">
      <c r="A51" s="26" t="inlineStr">
        <is>
          <t>Aberdeen</t>
        </is>
      </c>
      <c r="B51" s="26" t="inlineStr">
        <is>
          <t>ShoresAir</t>
        </is>
      </c>
      <c r="C51" s="26" t="inlineStr">
        <is>
          <t>(360) 590-0215</t>
        </is>
      </c>
      <c r="D51" s="26" t="inlineStr">
        <is>
          <t>No</t>
        </is>
      </c>
      <c r="E51" s="26" t="inlineStr">
        <is>
          <t>N/A</t>
        </is>
      </c>
      <c r="F51" s="26" t="inlineStr">
        <is>
          <t>No website - Maps shows "Add website" prompt</t>
        </is>
      </c>
      <c r="G51" s="26" t="n">
        <v>5</v>
      </c>
      <c r="H51" s="26" t="n">
        <v>33</v>
      </c>
      <c r="I51" s="29" t="inlineStr">
        <is>
          <t>Do Not Call</t>
        </is>
      </c>
      <c r="J51" s="26" t="inlineStr">
        <is>
          <t>Chris</t>
        </is>
      </c>
      <c r="K51" s="26" t="inlineStr">
        <is>
          <t>No website at all, confirmed via Maps "Add missing information" prompt. Women-owned business. Owner name Chris confirmed via multiple reviews.</t>
        </is>
      </c>
      <c r="L51" s="26" t="inlineStr">
        <is>
          <t>Google Maps</t>
        </is>
      </c>
      <c r="M51" s="26" t="inlineStr">
        <is>
          <t>2026-07-02</t>
        </is>
      </c>
      <c r="N51" s="26" t="inlineStr">
        <is>
          <t>Y</t>
        </is>
      </c>
      <c r="O51" s="26" t="inlineStr">
        <is>
          <t>2026-07-13</t>
        </is>
      </c>
      <c r="P51" s="26" t="inlineStr">
        <is>
          <t>No answer — call again | Called back — not interested. DO NOT CALL.</t>
        </is>
      </c>
    </row>
    <row r="52" ht="130.5" customHeight="1" s="21">
      <c r="A52" s="26" t="inlineStr">
        <is>
          <t>Aberdeen</t>
        </is>
      </c>
      <c r="B52" s="26" t="inlineStr">
        <is>
          <t>Robbins Air Inc</t>
        </is>
      </c>
      <c r="C52" s="26" t="inlineStr">
        <is>
          <t>(360) 538-7003</t>
        </is>
      </c>
      <c r="D52" s="26" t="inlineStr">
        <is>
          <t>Yes (dated)</t>
        </is>
      </c>
      <c r="E52" s="26" t="inlineStr">
        <is>
          <t>robbinsairinc.com</t>
        </is>
      </c>
      <c r="F52" s="26" t="inlineStr">
        <is>
          <t>Dated 2010s-era template: generic stock photography (commercial condenser units, not their own trucks/team), tan/beige beveled-button design cues, unclear/broken "Email" form field</t>
        </is>
      </c>
      <c r="G52" s="26" t="n">
        <v>4.6</v>
      </c>
      <c r="H52" s="26" t="n">
        <v>116</v>
      </c>
      <c r="I52" s="30" t="inlineStr">
        <is>
          <t>Warm</t>
        </is>
      </c>
      <c r="J52" s="26" t="inlineStr">
        <is>
          <t>Carl W Robbins (L&amp;I principal)</t>
        </is>
      </c>
      <c r="K52" s="26" t="inlineStr">
        <is>
          <t>2+ red-flag signals per Step 4 checklist.</t>
        </is>
      </c>
      <c r="L52" s="26" t="inlineStr">
        <is>
          <t>Google Maps</t>
        </is>
      </c>
      <c r="M52" s="26" t="inlineStr">
        <is>
          <t>2026-07-02</t>
        </is>
      </c>
      <c r="N52" s="26" t="inlineStr">
        <is>
          <t>N</t>
        </is>
      </c>
      <c r="O52" s="26" t="n"/>
      <c r="P52" s="26" t="n"/>
    </row>
    <row r="53" ht="15.75" customHeight="1" s="21">
      <c r="A53" s="26" t="inlineStr">
        <is>
          <t>Montesano</t>
        </is>
      </c>
      <c r="B53" s="26" t="inlineStr">
        <is>
          <t>HANSON HEATING &amp; COOLING</t>
        </is>
      </c>
      <c r="C53" s="26" t="inlineStr">
        <is>
          <t>(360) 470-3993</t>
        </is>
      </c>
      <c r="D53" s="26" t="inlineStr">
        <is>
          <t>Unknown</t>
        </is>
      </c>
      <c r="E53" s="26" t="n"/>
      <c r="F53" s="26" t="inlineStr">
        <is>
          <t>Not assessed</t>
        </is>
      </c>
      <c r="G53" s="26" t="n">
        <v>5</v>
      </c>
      <c r="H53" s="26" t="n">
        <v>8</v>
      </c>
      <c r="I53" s="31" t="inlineStr">
        <is>
          <t>Watch</t>
        </is>
      </c>
      <c r="J53" s="26" t="n"/>
      <c r="K53" s="26" t="inlineStr">
        <is>
          <t>Below 25+ review threshold - recheck later.</t>
        </is>
      </c>
      <c r="L53" s="26" t="inlineStr">
        <is>
          <t>Google Maps</t>
        </is>
      </c>
      <c r="M53" s="26" t="inlineStr">
        <is>
          <t>2026-07-02</t>
        </is>
      </c>
      <c r="N53" s="26" t="inlineStr">
        <is>
          <t>N</t>
        </is>
      </c>
      <c r="O53" s="26" t="n"/>
      <c r="P53" s="26" t="n"/>
    </row>
    <row r="54" ht="15.75" customHeight="1" s="21">
      <c r="A54" s="26" t="inlineStr">
        <is>
          <t>Montesano</t>
        </is>
      </c>
      <c r="B54" s="26" t="inlineStr">
        <is>
          <t>Evergreen Air</t>
        </is>
      </c>
      <c r="C54" s="26" t="inlineStr">
        <is>
          <t>(360) 209-4379</t>
        </is>
      </c>
      <c r="D54" s="26" t="inlineStr">
        <is>
          <t>Unknown</t>
        </is>
      </c>
      <c r="E54" s="26" t="n"/>
      <c r="F54" s="26" t="inlineStr">
        <is>
          <t>Not assessed</t>
        </is>
      </c>
      <c r="G54" s="26" t="n">
        <v>5</v>
      </c>
      <c r="H54" s="26" t="n">
        <v>7</v>
      </c>
      <c r="I54" s="31" t="inlineStr">
        <is>
          <t>Watch</t>
        </is>
      </c>
      <c r="J54" s="26" t="n"/>
      <c r="K54" s="26" t="inlineStr">
        <is>
          <t>Below 25+ review threshold - recheck later.</t>
        </is>
      </c>
      <c r="L54" s="26" t="inlineStr">
        <is>
          <t>Google Maps</t>
        </is>
      </c>
      <c r="M54" s="26" t="inlineStr">
        <is>
          <t>2026-07-02</t>
        </is>
      </c>
      <c r="N54" s="26" t="inlineStr">
        <is>
          <t>N</t>
        </is>
      </c>
      <c r="O54" s="26" t="n"/>
      <c r="P54" s="26" t="n"/>
    </row>
    <row r="55" ht="15.75" customHeight="1" s="21">
      <c r="A55" s="26" t="inlineStr">
        <is>
          <t>Hoquiam</t>
        </is>
      </c>
      <c r="B55" s="26" t="inlineStr">
        <is>
          <t>Air Heads Heating &amp; Cooling, LLC</t>
        </is>
      </c>
      <c r="C55" s="26" t="n"/>
      <c r="D55" s="26" t="inlineStr">
        <is>
          <t>Unknown</t>
        </is>
      </c>
      <c r="E55" s="26" t="n"/>
      <c r="F55" s="26" t="inlineStr">
        <is>
          <t>Not assessed</t>
        </is>
      </c>
      <c r="G55" s="26" t="n">
        <v>4</v>
      </c>
      <c r="H55" s="26" t="n">
        <v>12</v>
      </c>
      <c r="I55" s="31" t="inlineStr">
        <is>
          <t>Watch</t>
        </is>
      </c>
      <c r="J55" s="26" t="n"/>
      <c r="K55" s="26" t="inlineStr">
        <is>
          <t>Below 25+ review threshold - recheck later.</t>
        </is>
      </c>
      <c r="L55" s="26" t="inlineStr">
        <is>
          <t>Google Maps</t>
        </is>
      </c>
      <c r="M55" s="26" t="inlineStr">
        <is>
          <t>2026-07-02</t>
        </is>
      </c>
      <c r="N55" s="26" t="inlineStr">
        <is>
          <t>N</t>
        </is>
      </c>
      <c r="O55" s="26" t="n"/>
      <c r="P55" s="26" t="n"/>
    </row>
    <row r="56" ht="43.5" customHeight="1" s="21">
      <c r="A56" s="26" t="inlineStr">
        <is>
          <t>Chehalis</t>
        </is>
      </c>
      <c r="B56" s="26" t="inlineStr">
        <is>
          <t>Mills Northwest Heating &amp; Cooling Inc</t>
        </is>
      </c>
      <c r="C56" s="26" t="inlineStr">
        <is>
          <t>(360) 748-7961</t>
        </is>
      </c>
      <c r="D56" s="26" t="inlineStr">
        <is>
          <t>No</t>
        </is>
      </c>
      <c r="E56" s="26" t="inlineStr">
        <is>
          <t>N/A</t>
        </is>
      </c>
      <c r="F56" s="26" t="inlineStr">
        <is>
          <t>No website - Maps shows "Add website" prompt</t>
        </is>
      </c>
      <c r="G56" s="26" t="n">
        <v>4.4</v>
      </c>
      <c r="H56" s="26" t="n">
        <v>27</v>
      </c>
      <c r="I56" s="29" t="inlineStr">
        <is>
          <t>Hot</t>
        </is>
      </c>
      <c r="J56" s="26" t="n"/>
      <c r="K56" s="26" t="inlineStr">
        <is>
          <t>No website at all, confirmed via Maps "Add missing information" prompt. One negative review re: prior redo work but overall rating still clears bar.</t>
        </is>
      </c>
      <c r="L56" s="26" t="inlineStr">
        <is>
          <t>Google Maps</t>
        </is>
      </c>
      <c r="M56" s="26" t="inlineStr">
        <is>
          <t>2026-07-02</t>
        </is>
      </c>
      <c r="N56" s="26" t="inlineStr">
        <is>
          <t>N</t>
        </is>
      </c>
      <c r="O56" s="26" t="n"/>
      <c r="P56" s="26" t="n"/>
    </row>
    <row r="57" ht="15.75" customHeight="1" s="21">
      <c r="A57" s="26" t="inlineStr">
        <is>
          <t>Chehalis</t>
        </is>
      </c>
      <c r="B57" s="26" t="inlineStr">
        <is>
          <t>Advanced Energy Systems Inc.</t>
        </is>
      </c>
      <c r="C57" s="26" t="inlineStr">
        <is>
          <t>(360) 207-1419</t>
        </is>
      </c>
      <c r="D57" s="26" t="inlineStr">
        <is>
          <t>Yes</t>
        </is>
      </c>
      <c r="E57" s="26" t="n"/>
      <c r="F57" s="26" t="inlineStr">
        <is>
          <t>Not assessed</t>
        </is>
      </c>
      <c r="G57" s="26" t="n">
        <v>4.8</v>
      </c>
      <c r="H57" s="26" t="n">
        <v>21</v>
      </c>
      <c r="I57" s="31" t="inlineStr">
        <is>
          <t>Watch</t>
        </is>
      </c>
      <c r="J57" s="26" t="n"/>
      <c r="K57" s="26" t="inlineStr">
        <is>
          <t>Below 25+ review threshold - recheck later.</t>
        </is>
      </c>
      <c r="L57" s="26" t="inlineStr">
        <is>
          <t>Google Maps</t>
        </is>
      </c>
      <c r="M57" s="26" t="inlineStr">
        <is>
          <t>2026-07-02</t>
        </is>
      </c>
      <c r="N57" s="26" t="inlineStr">
        <is>
          <t>N</t>
        </is>
      </c>
      <c r="O57" s="26" t="n"/>
      <c r="P57" s="26" t="n"/>
    </row>
    <row r="58" ht="15.75" customHeight="1" s="21">
      <c r="A58" s="26" t="inlineStr">
        <is>
          <t>Chehalis</t>
        </is>
      </c>
      <c r="B58" s="26" t="inlineStr">
        <is>
          <t>Mohoric Refrigeration</t>
        </is>
      </c>
      <c r="C58" s="26" t="inlineStr">
        <is>
          <t>(360) 736-9969</t>
        </is>
      </c>
      <c r="D58" s="26" t="inlineStr">
        <is>
          <t>Yes</t>
        </is>
      </c>
      <c r="E58" s="26" t="n"/>
      <c r="F58" s="26" t="inlineStr">
        <is>
          <t>Not assessed</t>
        </is>
      </c>
      <c r="G58" s="26" t="n">
        <v>4.5</v>
      </c>
      <c r="H58" s="26" t="n">
        <v>8</v>
      </c>
      <c r="I58" s="31" t="inlineStr">
        <is>
          <t>Watch</t>
        </is>
      </c>
      <c r="J58" s="26" t="n"/>
      <c r="K58" s="26" t="inlineStr">
        <is>
          <t>Below 25+ review threshold - recheck later.</t>
        </is>
      </c>
      <c r="L58" s="26" t="inlineStr">
        <is>
          <t>Google Maps</t>
        </is>
      </c>
      <c r="M58" s="26" t="inlineStr">
        <is>
          <t>2026-07-02</t>
        </is>
      </c>
      <c r="N58" s="26" t="inlineStr">
        <is>
          <t>N</t>
        </is>
      </c>
      <c r="O58" s="26" t="n"/>
      <c r="P58" s="26" t="n"/>
    </row>
    <row r="59" ht="87" customHeight="1" s="21">
      <c r="A59" s="26" t="inlineStr">
        <is>
          <t>Tumwater</t>
        </is>
      </c>
      <c r="B59" s="26" t="inlineStr">
        <is>
          <t>Community Heating and Cooling LLC</t>
        </is>
      </c>
      <c r="C59" s="26" t="inlineStr">
        <is>
          <t>(360) 923-4229</t>
        </is>
      </c>
      <c r="D59" s="26" t="inlineStr">
        <is>
          <t>No</t>
        </is>
      </c>
      <c r="E59" s="26" t="inlineStr">
        <is>
          <t>N/A</t>
        </is>
      </c>
      <c r="F59" s="26" t="inlineStr">
        <is>
          <t>No website - Maps shows "Add website" prompt</t>
        </is>
      </c>
      <c r="G59" s="26" t="n">
        <v>4.8</v>
      </c>
      <c r="H59" s="26" t="n">
        <v>79</v>
      </c>
      <c r="I59" s="29" t="inlineStr">
        <is>
          <t>Hot</t>
        </is>
      </c>
      <c r="J59" s="26" t="n"/>
      <c r="K59" s="26" t="inlineStr">
        <is>
          <t>No website at all, confirmed via Maps "Add missing information" prompt. 79 reviews is one of the strongest review bases of any Hot find in the project. Found in Tumwater despite Thurston County looking saturated at first glance - proves individual verification is still worth it even in nominally saturated markets.</t>
        </is>
      </c>
      <c r="L59" s="26" t="inlineStr">
        <is>
          <t>Google Maps</t>
        </is>
      </c>
      <c r="M59" s="26" t="inlineStr">
        <is>
          <t>2026-07-02</t>
        </is>
      </c>
      <c r="N59" s="26" t="inlineStr">
        <is>
          <t>Y</t>
        </is>
      </c>
      <c r="O59" s="26" t="inlineStr">
        <is>
          <t>2026-07-14</t>
        </is>
      </c>
      <c r="P59" s="26" t="inlineStr">
        <is>
          <t>July 14 — line busy, auto-disconnected. Try again another time.</t>
        </is>
      </c>
    </row>
    <row r="60" ht="87" customHeight="1" s="21">
      <c r="A60" s="26" t="inlineStr">
        <is>
          <t>Tumwater</t>
        </is>
      </c>
      <c r="B60" s="26" t="inlineStr">
        <is>
          <t>Quality Heating &amp; Air, LLC</t>
        </is>
      </c>
      <c r="C60" s="26" t="inlineStr">
        <is>
          <t>(360) 742-6323</t>
        </is>
      </c>
      <c r="D60" s="26" t="inlineStr">
        <is>
          <t>Yes (hijacked)</t>
        </is>
      </c>
      <c r="E60" s="26" t="inlineStr">
        <is>
          <t>qualityheatingllc.com</t>
        </is>
      </c>
      <c r="F60" s="26" t="inlineStr">
        <is>
          <t>Domain expired and now redirects to an unrelated Thai online lottery/gambling site - not a working business site by any definition</t>
        </is>
      </c>
      <c r="G60" s="26" t="n">
        <v>4.8</v>
      </c>
      <c r="H60" s="26" t="n">
        <v>55</v>
      </c>
      <c r="I60" s="29" t="inlineStr">
        <is>
          <t>Hot</t>
        </is>
      </c>
      <c r="J60" s="26" t="inlineStr">
        <is>
          <t>Justin</t>
        </is>
      </c>
      <c r="K60" s="26" t="inlineStr">
        <is>
          <t>Best/most unusual find of Round 7 - their old domain now serves gambling content. Owner name Justin confirmed via multiple reviews.</t>
        </is>
      </c>
      <c r="L60" s="26" t="inlineStr">
        <is>
          <t>Google Maps</t>
        </is>
      </c>
      <c r="M60" s="26" t="inlineStr">
        <is>
          <t>2026-07-02</t>
        </is>
      </c>
      <c r="N60" s="26" t="inlineStr">
        <is>
          <t>Y</t>
        </is>
      </c>
      <c r="O60" s="26" t="inlineStr">
        <is>
          <t>2026-07-14</t>
        </is>
      </c>
      <c r="P60" s="26" t="inlineStr">
        <is>
          <t>VERBAL YES — free case study. Justin on rooftop, said text him the link. Follow up with text NOW. | Follow-up call — still interested. Busy but asked Jose to call back at 2pm TODAY. 2pm call scheduled.</t>
        </is>
      </c>
    </row>
    <row r="61" ht="43.5" customHeight="1" s="21">
      <c r="A61" s="26" t="inlineStr">
        <is>
          <t>Lacey</t>
        </is>
      </c>
      <c r="B61" s="26" t="inlineStr">
        <is>
          <t>All-Star Heating &amp; Cooling</t>
        </is>
      </c>
      <c r="C61" s="26" t="inlineStr">
        <is>
          <t>(360) 522-7284</t>
        </is>
      </c>
      <c r="D61" s="26" t="inlineStr">
        <is>
          <t>No</t>
        </is>
      </c>
      <c r="E61" s="26" t="inlineStr">
        <is>
          <t>N/A</t>
        </is>
      </c>
      <c r="F61" s="26" t="inlineStr">
        <is>
          <t>No website - Maps shows "Add website" prompt</t>
        </is>
      </c>
      <c r="G61" s="26" t="n">
        <v>5</v>
      </c>
      <c r="H61" s="26" t="n">
        <v>84</v>
      </c>
      <c r="I61" s="29" t="inlineStr">
        <is>
          <t>Hot</t>
        </is>
      </c>
      <c r="J61" s="26" t="inlineStr">
        <is>
          <t>Alex</t>
        </is>
      </c>
      <c r="K61" s="26" t="inlineStr">
        <is>
          <t>No website at all, confirmed via Maps "Add missing information" prompt. Owner name Alex confirmed via review ("Alex, the owner and lead engineer").</t>
        </is>
      </c>
      <c r="L61" s="26" t="inlineStr">
        <is>
          <t>Google Maps</t>
        </is>
      </c>
      <c r="M61" s="26" t="inlineStr">
        <is>
          <t>2026-07-02</t>
        </is>
      </c>
      <c r="N61" s="26" t="inlineStr">
        <is>
          <t>Y</t>
        </is>
      </c>
      <c r="O61" s="26" t="inlineStr">
        <is>
          <t>2026-07-10</t>
        </is>
      </c>
      <c r="P61" s="26" t="inlineStr">
        <is>
          <t>Called x2 — not interested. "Small business, don't need service." Folded too early. Dead.</t>
        </is>
      </c>
    </row>
    <row r="62" ht="28.5" customHeight="1" s="21">
      <c r="A62" s="26" t="inlineStr">
        <is>
          <t>Tumwater</t>
        </is>
      </c>
      <c r="B62" s="26" t="inlineStr">
        <is>
          <t>Custom Comfort Northwest Heating and Cooling</t>
        </is>
      </c>
      <c r="C62" s="26" t="n"/>
      <c r="D62" s="26" t="inlineStr">
        <is>
          <t>Unknown</t>
        </is>
      </c>
      <c r="E62" s="26" t="n"/>
      <c r="F62" s="26" t="inlineStr">
        <is>
          <t>Not assessed</t>
        </is>
      </c>
      <c r="G62" s="26" t="n">
        <v>4.5</v>
      </c>
      <c r="H62" s="26" t="n">
        <v>8</v>
      </c>
      <c r="I62" s="31" t="inlineStr">
        <is>
          <t>Watch</t>
        </is>
      </c>
      <c r="J62" s="26" t="n"/>
      <c r="K62" s="26" t="inlineStr">
        <is>
          <t>Below 25+ review threshold - recheck later.</t>
        </is>
      </c>
      <c r="L62" s="26" t="inlineStr">
        <is>
          <t>Google Maps</t>
        </is>
      </c>
      <c r="M62" s="26" t="inlineStr">
        <is>
          <t>2026-07-02</t>
        </is>
      </c>
      <c r="N62" s="26" t="inlineStr">
        <is>
          <t>N</t>
        </is>
      </c>
      <c r="O62" s="26" t="n"/>
      <c r="P62" s="26" t="n"/>
    </row>
    <row r="63" ht="43.5" customHeight="1" s="21">
      <c r="A63" s="26" t="inlineStr">
        <is>
          <t>Yelm</t>
        </is>
      </c>
      <c r="B63" s="26" t="inlineStr">
        <is>
          <t>Paul's Custom Heating &amp; A/C INC.</t>
        </is>
      </c>
      <c r="C63" s="26" t="n"/>
      <c r="D63" s="26" t="inlineStr">
        <is>
          <t>Unknown</t>
        </is>
      </c>
      <c r="E63" s="26" t="n"/>
      <c r="F63" s="26" t="inlineStr">
        <is>
          <t>Not assessed</t>
        </is>
      </c>
      <c r="G63" s="26" t="n">
        <v>4.9</v>
      </c>
      <c r="H63" s="26" t="n">
        <v>21</v>
      </c>
      <c r="I63" s="31" t="inlineStr">
        <is>
          <t>Watch</t>
        </is>
      </c>
      <c r="J63" s="26" t="n"/>
      <c r="K63" s="26" t="inlineStr">
        <is>
          <t>Surfaced via "People also search for" on Ed's Heating and Cooling LLC page - below 25+ review threshold, recheck later.</t>
        </is>
      </c>
      <c r="L63" s="26" t="inlineStr">
        <is>
          <t>Google Maps</t>
        </is>
      </c>
      <c r="M63" s="26" t="inlineStr">
        <is>
          <t>2026-07-02</t>
        </is>
      </c>
      <c r="N63" s="26" t="inlineStr">
        <is>
          <t>N</t>
        </is>
      </c>
      <c r="O63" s="26" t="n"/>
      <c r="P63" s="26" t="n"/>
    </row>
    <row r="64" ht="150" customHeight="1" s="21">
      <c r="A64" s="26" t="inlineStr">
        <is>
          <t>Deming</t>
        </is>
      </c>
      <c r="B64" s="26" t="inlineStr">
        <is>
          <t>Heating Guy Inc</t>
        </is>
      </c>
      <c r="C64" s="26" t="inlineStr">
        <is>
          <t>(360) 927-4643</t>
        </is>
      </c>
      <c r="D64" s="26" t="inlineStr">
        <is>
          <t>No</t>
        </is>
      </c>
      <c r="E64" s="26" t="inlineStr">
        <is>
          <t>N/A</t>
        </is>
      </c>
      <c r="F64" s="26" t="inlineStr">
        <is>
          <t>No website - Maps shows Add website prompt</t>
        </is>
      </c>
      <c r="G64" s="26" t="n">
        <v>5</v>
      </c>
      <c r="H64" s="26" t="n">
        <v>8</v>
      </c>
      <c r="I64" s="29" t="inlineStr">
        <is>
          <t>Hot</t>
        </is>
      </c>
      <c r="J64" s="26" t="inlineStr">
        <is>
          <t>Lawrence (Larry) Duncan</t>
        </is>
      </c>
      <c r="K64" s="26" t="inlineStr">
        <is>
          <t>EXPERIMENTAL FLAG - only 8 Google reviews (below standard 25+ bar) but WA L&amp;I license HEATIGI947D4 (HVAC/RFRG specialty) has been continuously ACTIVE since 03/24/2006 - 19 years - discovered via L&amp;I name-search cross-reference, missed by every Google Maps query run for Deming/Concrete/Everson/Nooksack in Round 6. Promoted to Hot on the theory that a 19-year active license is at least as strong a legitimacy signal as 25 reviews, especially in a town this small. Flagging for your judgment as the first test case of this alternate criteria - review before calling.</t>
        </is>
      </c>
      <c r="L64" s="26" t="inlineStr">
        <is>
          <t>WA L&amp;I contractor search + Google Maps</t>
        </is>
      </c>
      <c r="M64" s="26" t="inlineStr">
        <is>
          <t>2026-07-02</t>
        </is>
      </c>
      <c r="N64" s="26" t="n"/>
      <c r="O64" s="26" t="n"/>
      <c r="P64" s="26" t="n"/>
    </row>
    <row r="65" ht="57.75" customHeight="1" s="21">
      <c r="A65" s="26" t="inlineStr">
        <is>
          <t>Raymond</t>
        </is>
      </c>
      <c r="B65" s="26" t="inlineStr">
        <is>
          <t>A R Heating &amp; Cooling</t>
        </is>
      </c>
      <c r="C65" s="26" t="inlineStr">
        <is>
          <t>(360) 999-0928</t>
        </is>
      </c>
      <c r="D65" s="26" t="inlineStr">
        <is>
          <t>Unknown</t>
        </is>
      </c>
      <c r="E65" s="26" t="n"/>
      <c r="F65" s="26" t="inlineStr">
        <is>
          <t>Not assessed</t>
        </is>
      </c>
      <c r="G65" s="26" t="n">
        <v>5</v>
      </c>
      <c r="H65" s="26" t="n">
        <v>8</v>
      </c>
      <c r="I65" s="31" t="inlineStr">
        <is>
          <t>Watch</t>
        </is>
      </c>
      <c r="J65" s="26" t="n"/>
      <c r="K65" s="26" t="inlineStr">
        <is>
          <t>Below 25+ review threshold - recheck later. Part of population-floor experiment (Pacific County) - Raymond otherwise returned only duplicates of already-logged Grays Harbor businesses and category mismatches.</t>
        </is>
      </c>
      <c r="L65" s="26" t="inlineStr">
        <is>
          <t>Google Maps</t>
        </is>
      </c>
      <c r="M65" s="26" t="inlineStr">
        <is>
          <t>2026-07-02</t>
        </is>
      </c>
      <c r="N65" s="26" t="inlineStr">
        <is>
          <t>N</t>
        </is>
      </c>
      <c r="O65" s="26" t="n"/>
      <c r="P65" s="26" t="n"/>
    </row>
    <row r="66" ht="101.25" customHeight="1" s="21">
      <c r="A66" s="26" t="inlineStr">
        <is>
          <t>Long Beach</t>
        </is>
      </c>
      <c r="B66" s="26" t="inlineStr">
        <is>
          <t>Bachers Heating &amp; Cooling LLC.</t>
        </is>
      </c>
      <c r="C66" s="26" t="inlineStr">
        <is>
          <t>(360) 214-9966</t>
        </is>
      </c>
      <c r="D66" s="26" t="inlineStr">
        <is>
          <t>Yes</t>
        </is>
      </c>
      <c r="E66" s="26" t="inlineStr">
        <is>
          <t>bachers-heating.com</t>
        </is>
      </c>
      <c r="F66" s="26" t="inlineStr">
        <is>
          <t>Not individually site-verified - real domain exists, owner CJ confirmed via reviews</t>
        </is>
      </c>
      <c r="G66" s="26" t="n">
        <v>4.8</v>
      </c>
      <c r="H66" s="26" t="n">
        <v>24</v>
      </c>
      <c r="I66" s="31" t="inlineStr">
        <is>
          <t>Watch</t>
        </is>
      </c>
      <c r="J66" s="26" t="inlineStr">
        <is>
          <t>CJ</t>
        </is>
      </c>
      <c r="K66" s="26" t="inlineStr">
        <is>
          <t>1 review short of the 25+ bar. One sharply negative review (missed follow-up) alongside otherwise strong reviews - worth a second look when it crosses threshold. Part of population-floor experiment (Pacific County/Long Beach Peninsula, population ~1,400) - smallest town with any independent HVAC presence found in the whole project so far.</t>
        </is>
      </c>
      <c r="L66" s="26" t="inlineStr">
        <is>
          <t>Google Maps</t>
        </is>
      </c>
      <c r="M66" s="26" t="inlineStr">
        <is>
          <t>2026-07-02</t>
        </is>
      </c>
      <c r="N66" s="26" t="inlineStr">
        <is>
          <t>N</t>
        </is>
      </c>
      <c r="O66" s="26" t="n"/>
      <c r="P66" s="26" t="n"/>
    </row>
    <row r="67" ht="101.25" customHeight="1" s="21">
      <c r="A67" s="26" t="inlineStr">
        <is>
          <t>Enumclaw</t>
        </is>
      </c>
      <c r="B67" s="26" t="inlineStr">
        <is>
          <t>Lloyd's Heating &amp; Sheet Metal</t>
        </is>
      </c>
      <c r="C67" s="26" t="inlineStr">
        <is>
          <t>(360) 825-2241</t>
        </is>
      </c>
      <c r="D67" s="26" t="inlineStr">
        <is>
          <t>No</t>
        </is>
      </c>
      <c r="E67" s="26" t="inlineStr">
        <is>
          <t>N/A</t>
        </is>
      </c>
      <c r="F67" s="26" t="n"/>
      <c r="G67" s="26" t="n">
        <v>5</v>
      </c>
      <c r="H67" s="26" t="n">
        <v>10</v>
      </c>
      <c r="I67" s="29" t="inlineStr">
        <is>
          <t>Hot</t>
        </is>
      </c>
      <c r="J67" s="26" t="inlineStr">
        <is>
          <t>Dallas Jester Schenk</t>
        </is>
      </c>
      <c r="K67" s="26" t="inlineStr">
        <is>
          <t>L&amp;I EXCEPTION APPLIED (2nd use, strongest yet): only 10 reviews but WA L&amp;I HVAC/R license LLOYDHS101MT continuously active since 07/30/1990 (36 yrs), bonded + insured, zero violations. Maps listing UNCLAIMED with 'Add website' prompt = definitively no website. 5.0 reviews spanning 8+ yrs. Owner Dallas Schenk named in both reviews and L&amp;I principals. 410 Roosevelt Ave E, Enumclaw.</t>
        </is>
      </c>
      <c r="L67" s="26" t="inlineStr">
        <is>
          <t>Google Maps + WA L&amp;I verify</t>
        </is>
      </c>
      <c r="M67" s="26" t="inlineStr">
        <is>
          <t>2026-07-02</t>
        </is>
      </c>
      <c r="N67" s="26" t="n"/>
      <c r="O67" s="26" t="n"/>
      <c r="P67" s="26" t="n"/>
    </row>
    <row r="68" ht="72" customHeight="1" s="21">
      <c r="A68" s="26" t="inlineStr">
        <is>
          <t>Elma</t>
        </is>
      </c>
      <c r="B68" s="26" t="inlineStr">
        <is>
          <t>PNW Heating And Cooling</t>
        </is>
      </c>
      <c r="C68" s="26" t="n"/>
      <c r="D68" s="26" t="inlineStr">
        <is>
          <t>No</t>
        </is>
      </c>
      <c r="E68" s="26" t="inlineStr">
        <is>
          <t>N/A</t>
        </is>
      </c>
      <c r="F68" s="26" t="inlineStr">
        <is>
          <t>Not assessed</t>
        </is>
      </c>
      <c r="G68" s="26" t="n">
        <v>5</v>
      </c>
      <c r="H68" s="26" t="n">
        <v>11</v>
      </c>
      <c r="I68" s="31" t="inlineStr">
        <is>
          <t>Watch</t>
        </is>
      </c>
      <c r="J68" s="26" t="inlineStr">
        <is>
          <t>David</t>
        </is>
      </c>
      <c r="K68" s="26" t="inlineStr">
        <is>
          <t>No website AND no phone number on Maps ('Add website' + 'Add phone number' prompts both present). Owner David per review text. Reviews 2-4 years old, all 5.0. Contact info gap - pull phone from L&amp;I/Facebook before any outreach.</t>
        </is>
      </c>
      <c r="L68" s="26" t="inlineStr">
        <is>
          <t>Google Maps</t>
        </is>
      </c>
      <c r="M68" s="26" t="inlineStr">
        <is>
          <t>2026-07-02</t>
        </is>
      </c>
      <c r="N68" s="26" t="n"/>
      <c r="O68" s="26" t="n"/>
      <c r="P68" s="26" t="n"/>
    </row>
    <row r="69" ht="57.75" customHeight="1" s="21">
      <c r="A69" s="26" t="inlineStr">
        <is>
          <t>Ellensburg</t>
        </is>
      </c>
      <c r="B69" s="26" t="inlineStr">
        <is>
          <t>Brad &amp; Burke Heating &amp; AC</t>
        </is>
      </c>
      <c r="C69" s="26" t="inlineStr">
        <is>
          <t>(509) 962-9871</t>
        </is>
      </c>
      <c r="D69" s="26" t="inlineStr">
        <is>
          <t>Yes</t>
        </is>
      </c>
      <c r="E69" s="26" t="inlineStr">
        <is>
          <t>bradandburke.com</t>
        </is>
      </c>
      <c r="F69" s="26" t="inlineStr">
        <is>
          <t>Poor</t>
        </is>
      </c>
      <c r="G69" s="26" t="n">
        <v>4.4</v>
      </c>
      <c r="H69" s="26" t="n">
        <v>48</v>
      </c>
      <c r="I69" s="30" t="inlineStr">
        <is>
          <t>Warm</t>
        </is>
      </c>
      <c r="J69" s="26" t="n"/>
      <c r="K69" s="26" t="inlineStr">
        <is>
          <t>3 red flags: generic stock-photo hero (not their team), huge blank/unrendered content sections mid-page, no lead-capture form (only a 'Get in touch!' text link). Long-established local name. 604 W University Way.</t>
        </is>
      </c>
      <c r="L69" s="26" t="inlineStr">
        <is>
          <t>Google Maps</t>
        </is>
      </c>
      <c r="M69" s="26" t="inlineStr">
        <is>
          <t>2026-07-02</t>
        </is>
      </c>
      <c r="N69" s="26" t="n"/>
      <c r="O69" s="26" t="n"/>
      <c r="P69" s="26" t="n"/>
    </row>
    <row r="70" ht="101.25" customHeight="1" s="21">
      <c r="A70" s="26" t="inlineStr">
        <is>
          <t>Cle Elum</t>
        </is>
      </c>
      <c r="B70" s="26" t="inlineStr">
        <is>
          <t>Loveridge Mechanical &amp; Sons LLC</t>
        </is>
      </c>
      <c r="C70" s="26" t="inlineStr">
        <is>
          <t>(509) 304-2368</t>
        </is>
      </c>
      <c r="D70" s="26" t="inlineStr">
        <is>
          <t>Yes</t>
        </is>
      </c>
      <c r="E70" s="26" t="inlineStr">
        <is>
          <t>loveridgemech.com</t>
        </is>
      </c>
      <c r="F70" s="26" t="inlineStr">
        <is>
          <t>Poor</t>
        </is>
      </c>
      <c r="G70" s="26" t="n">
        <v>4.6</v>
      </c>
      <c r="H70" s="26" t="n">
        <v>26</v>
      </c>
      <c r="I70" s="30" t="inlineStr">
        <is>
          <t>Warm</t>
        </is>
      </c>
      <c r="J70" s="26" t="n"/>
      <c r="K70" s="26" t="inlineStr">
        <is>
          <t>Family-owned, boilers/hydronic specialty. Red flags: no lead-capture form anywhere; 'Call Us Today' header with no number next to it; fire-pit section copy literally references 'Washington Boilers' (boilerplate pasted from another company's site); TWO duplicate GMB listings (one with 0 reviews) = digital neglect. Serves Cle Elum/Ellensburg/Kittitas + greater Seattle.</t>
        </is>
      </c>
      <c r="L70" s="26" t="inlineStr">
        <is>
          <t>Google Maps</t>
        </is>
      </c>
      <c r="M70" s="26" t="inlineStr">
        <is>
          <t>2026-07-02</t>
        </is>
      </c>
      <c r="N70" s="26" t="n"/>
      <c r="O70" s="26" t="n"/>
      <c r="P70" s="26" t="n"/>
    </row>
    <row r="71" ht="28.5" customHeight="1" s="21">
      <c r="A71" s="26" t="inlineStr">
        <is>
          <t>Cle Elum</t>
        </is>
      </c>
      <c r="B71" s="26" t="inlineStr">
        <is>
          <t>Head Mechanical, Inc</t>
        </is>
      </c>
      <c r="C71" s="26" t="inlineStr">
        <is>
          <t>(206) 730-5178</t>
        </is>
      </c>
      <c r="D71" s="26" t="inlineStr">
        <is>
          <t>Yes</t>
        </is>
      </c>
      <c r="E71" s="26" t="n"/>
      <c r="F71" s="26" t="inlineStr">
        <is>
          <t>Not assessed</t>
        </is>
      </c>
      <c r="G71" s="26" t="n">
        <v>4.6</v>
      </c>
      <c r="H71" s="26" t="n">
        <v>9</v>
      </c>
      <c r="I71" s="31" t="inlineStr">
        <is>
          <t>Watch</t>
        </is>
      </c>
      <c r="J71" s="26" t="n"/>
      <c r="K71" s="26" t="inlineStr">
        <is>
          <t>Under 25 reviews. Has website + online booking. Recheck as it grows.</t>
        </is>
      </c>
      <c r="L71" s="26" t="inlineStr">
        <is>
          <t>Google Maps</t>
        </is>
      </c>
      <c r="M71" s="26" t="inlineStr">
        <is>
          <t>2026-07-02</t>
        </is>
      </c>
      <c r="N71" s="26" t="n"/>
      <c r="O71" s="26" t="n"/>
      <c r="P71" s="26" t="n"/>
    </row>
    <row r="72" ht="87" customHeight="1" s="21">
      <c r="A72" s="26" t="inlineStr">
        <is>
          <t>Wenatchee</t>
        </is>
      </c>
      <c r="B72" s="26" t="inlineStr">
        <is>
          <t>Wenatchee Heating &amp; Cooling</t>
        </is>
      </c>
      <c r="C72" s="26" t="inlineStr">
        <is>
          <t>(509) 433-9025</t>
        </is>
      </c>
      <c r="D72" s="26" t="inlineStr">
        <is>
          <t>Yes</t>
        </is>
      </c>
      <c r="E72" s="26" t="inlineStr">
        <is>
          <t>wenatcheeheatingandcooling.com</t>
        </is>
      </c>
      <c r="F72" s="26" t="inlineStr">
        <is>
          <t>Broken</t>
        </is>
      </c>
      <c r="G72" s="26" t="n">
        <v>5</v>
      </c>
      <c r="H72" s="26" t="n">
        <v>159</v>
      </c>
      <c r="I72" s="30" t="inlineStr">
        <is>
          <t>Warm</t>
        </is>
      </c>
      <c r="J72" s="26" t="n"/>
      <c r="K72" s="26" t="inlineStr">
        <is>
          <t>CAVEAT - RE-VERIFY BEFORE CALLING: site rendered a completely blank white page with zero text content on two separate loads (may be a broken JS-only build). If confirmed broken, this is a top-tier Warm: 5.0 stars, 159 reviews, 24hr, and a dead-on-arrival website. No street address on Maps (service-area business).</t>
        </is>
      </c>
      <c r="L72" s="26" t="inlineStr">
        <is>
          <t>Google Maps</t>
        </is>
      </c>
      <c r="M72" s="26" t="inlineStr">
        <is>
          <t>2026-07-02</t>
        </is>
      </c>
      <c r="N72" s="26" t="n"/>
      <c r="O72" s="26" t="n"/>
      <c r="P72" s="26" t="n"/>
    </row>
    <row r="73" ht="15.75" customHeight="1" s="21">
      <c r="A73" s="26" t="inlineStr">
        <is>
          <t>East Wenatchee</t>
        </is>
      </c>
      <c r="B73" s="26" t="inlineStr">
        <is>
          <t>Comfort Zone Heating &amp; AC</t>
        </is>
      </c>
      <c r="C73" s="26" t="n"/>
      <c r="D73" s="26" t="n"/>
      <c r="E73" s="26" t="n"/>
      <c r="F73" s="26" t="inlineStr">
        <is>
          <t>Not assessed</t>
        </is>
      </c>
      <c r="G73" s="26" t="n">
        <v>4.8</v>
      </c>
      <c r="H73" s="26" t="n">
        <v>6</v>
      </c>
      <c r="I73" s="31" t="inlineStr">
        <is>
          <t>Watch</t>
        </is>
      </c>
      <c r="J73" s="26" t="n"/>
      <c r="K73" s="26" t="inlineStr">
        <is>
          <t>Under 25 reviews (PASF via Xtreme). Recheck later.</t>
        </is>
      </c>
      <c r="L73" s="26" t="inlineStr">
        <is>
          <t>PASF via Xtreme place page</t>
        </is>
      </c>
      <c r="M73" s="26" t="inlineStr">
        <is>
          <t>2026-07-02</t>
        </is>
      </c>
      <c r="N73" s="26" t="n"/>
      <c r="O73" s="26" t="n"/>
      <c r="P73" s="26" t="n"/>
    </row>
    <row r="74" ht="101.25" customHeight="1" s="21">
      <c r="A74" s="26" t="inlineStr">
        <is>
          <t>Wenatchee</t>
        </is>
      </c>
      <c r="B74" s="26" t="inlineStr">
        <is>
          <t>Premier Heating &amp; Cooling, LLC</t>
        </is>
      </c>
      <c r="C74" s="26" t="inlineStr">
        <is>
          <t>(509) 669-8010</t>
        </is>
      </c>
      <c r="D74" s="26" t="inlineStr">
        <is>
          <t>Yes</t>
        </is>
      </c>
      <c r="E74" s="26" t="inlineStr">
        <is>
          <t>premierheatingandcoolingllc.com</t>
        </is>
      </c>
      <c r="F74" s="26" t="inlineStr">
        <is>
          <t>Broken / blurred</t>
        </is>
      </c>
      <c r="G74" s="26" t="n">
        <v>5</v>
      </c>
      <c r="H74" s="26" t="n">
        <v>81</v>
      </c>
      <c r="I74" s="30" t="inlineStr">
        <is>
          <t>Warm</t>
        </is>
      </c>
      <c r="J74" s="26" t="inlineStr">
        <is>
          <t>Pedro</t>
        </is>
      </c>
      <c r="K74" s="26" t="inlineStr">
        <is>
          <t>Hero image AND logo are permanently-blurred lazy-load placeholders that never resolve. GMB owner post is PAINTING-company boilerplate ('meticulous surface preparation, clean lines, color consultation') pasted into an HVAC listing - same wrong-vertical neglect pattern as Loveridge. No street address on Maps (service-area). Owner Pedro per reviews. 5.0 x 81 = strong pitch target.</t>
        </is>
      </c>
      <c r="L74" s="26" t="inlineStr">
        <is>
          <t>Google Maps</t>
        </is>
      </c>
      <c r="M74" s="26" t="inlineStr">
        <is>
          <t>2026-07-02</t>
        </is>
      </c>
      <c r="N74" s="26" t="n"/>
      <c r="O74" s="26" t="n"/>
      <c r="P74" s="26" t="n"/>
    </row>
    <row r="75" ht="72" customHeight="1" s="21">
      <c r="A75" s="26" t="inlineStr">
        <is>
          <t>East Wenatchee</t>
        </is>
      </c>
      <c r="B75" s="26" t="inlineStr">
        <is>
          <t>Dick's Heating &amp; Air Conditioning</t>
        </is>
      </c>
      <c r="C75" s="26" t="inlineStr">
        <is>
          <t>(509) 884-6444</t>
        </is>
      </c>
      <c r="D75" s="26" t="inlineStr">
        <is>
          <t>Yes</t>
        </is>
      </c>
      <c r="E75" s="26" t="inlineStr">
        <is>
          <t>dicksheatingwenatchee.com</t>
        </is>
      </c>
      <c r="F75" s="26" t="inlineStr">
        <is>
          <t>Dated</t>
        </is>
      </c>
      <c r="G75" s="26" t="n">
        <v>4.6</v>
      </c>
      <c r="H75" s="26" t="n">
        <v>138</v>
      </c>
      <c r="I75" s="30" t="inlineStr">
        <is>
          <t>Warm</t>
        </is>
      </c>
      <c r="J75" s="26" t="n"/>
      <c r="K75" s="26" t="inlineStr">
        <is>
          <t>Borderline Warm (2 flags): business email is dicksheating@hotmail.com (not even gmail), dated template with low-res pixelated hero. Counterpoint: owner responds to reviews thoughtfully - digitally present, just web-neglected. 5533 Nelpar Dr.</t>
        </is>
      </c>
      <c r="L75" s="26" t="inlineStr">
        <is>
          <t>Google Maps</t>
        </is>
      </c>
      <c r="M75" s="26" t="inlineStr">
        <is>
          <t>2026-07-02</t>
        </is>
      </c>
      <c r="N75" s="26" t="n"/>
      <c r="O75" s="26" t="n"/>
      <c r="P75" s="26" t="n"/>
    </row>
    <row r="76" ht="28.5" customHeight="1" s="21">
      <c r="A76" s="26" t="inlineStr">
        <is>
          <t>Sunnyside</t>
        </is>
      </c>
      <c r="B76" s="26" t="inlineStr">
        <is>
          <t>Bos Refrigeration - Heating and Air Conditioning</t>
        </is>
      </c>
      <c r="C76" s="26" t="inlineStr">
        <is>
          <t>(509) 839-3466</t>
        </is>
      </c>
      <c r="D76" s="26" t="inlineStr">
        <is>
          <t>Yes</t>
        </is>
      </c>
      <c r="E76" s="26" t="n"/>
      <c r="F76" s="26" t="inlineStr">
        <is>
          <t>Not assessed</t>
        </is>
      </c>
      <c r="G76" s="26" t="n">
        <v>4.6</v>
      </c>
      <c r="H76" s="26" t="n">
        <v>12</v>
      </c>
      <c r="I76" s="31" t="inlineStr">
        <is>
          <t>Watch</t>
        </is>
      </c>
      <c r="J76" s="26" t="inlineStr">
        <is>
          <t>Mary J Bos (L&amp;I principal)</t>
        </is>
      </c>
      <c r="K76" s="26" t="inlineStr">
        <is>
          <t>Under 25 reviews. Local Sunnyside address (3940 Alexander Rd). Recheck as it grows.</t>
        </is>
      </c>
      <c r="L76" s="26" t="inlineStr">
        <is>
          <t>Google Maps</t>
        </is>
      </c>
      <c r="M76" s="26" t="inlineStr">
        <is>
          <t>2026-07-02</t>
        </is>
      </c>
      <c r="N76" s="26" t="n"/>
      <c r="O76" s="26" t="n"/>
      <c r="P76" s="26" t="n"/>
    </row>
    <row r="77" ht="43.5" customHeight="1" s="21">
      <c r="A77" s="26" t="inlineStr">
        <is>
          <t>Zillah</t>
        </is>
      </c>
      <c r="B77" s="26" t="inlineStr">
        <is>
          <t>TNG Heating &amp; Air Conditioning, LLC</t>
        </is>
      </c>
      <c r="C77" s="26" t="inlineStr">
        <is>
          <t>(509) 865-3707</t>
        </is>
      </c>
      <c r="D77" s="26" t="inlineStr">
        <is>
          <t>Yes</t>
        </is>
      </c>
      <c r="E77" s="26" t="n"/>
      <c r="F77" s="26" t="inlineStr">
        <is>
          <t>Not assessed</t>
        </is>
      </c>
      <c r="G77" s="26" t="n">
        <v>4.8</v>
      </c>
      <c r="H77" s="26" t="n">
        <v>24</v>
      </c>
      <c r="I77" s="31" t="inlineStr">
        <is>
          <t>Watch</t>
        </is>
      </c>
      <c r="J77" s="26" t="n"/>
      <c r="K77" s="26" t="inlineStr">
        <is>
          <t>ONE review shy of the 25 bar - recheck within weeks, not months. 1001 Vintage Valley Pkwy (surfaced under Toppenish search).</t>
        </is>
      </c>
      <c r="L77" s="26" t="inlineStr">
        <is>
          <t>Google Maps</t>
        </is>
      </c>
      <c r="M77" s="26" t="inlineStr">
        <is>
          <t>2026-07-02</t>
        </is>
      </c>
      <c r="N77" s="26" t="n"/>
      <c r="O77" s="26" t="n"/>
      <c r="P77" s="26" t="n"/>
    </row>
    <row r="78" ht="28.5" customHeight="1" s="21">
      <c r="A78" s="26" t="inlineStr">
        <is>
          <t>Yakima (area)</t>
        </is>
      </c>
      <c r="B78" s="26" t="inlineStr">
        <is>
          <t>ASAP Heating &amp; Cooling</t>
        </is>
      </c>
      <c r="C78" s="26" t="inlineStr">
        <is>
          <t>(509) 654-4335</t>
        </is>
      </c>
      <c r="D78" s="26" t="inlineStr">
        <is>
          <t>Yes</t>
        </is>
      </c>
      <c r="E78" s="26" t="n"/>
      <c r="F78" s="26" t="inlineStr">
        <is>
          <t>Not assessed</t>
        </is>
      </c>
      <c r="G78" s="26" t="n">
        <v>5</v>
      </c>
      <c r="H78" s="26" t="n">
        <v>20</v>
      </c>
      <c r="I78" s="31" t="inlineStr">
        <is>
          <t>Watch</t>
        </is>
      </c>
      <c r="J78" s="26" t="n"/>
      <c r="K78" s="26" t="inlineStr">
        <is>
          <t>Under 25 reviews, no address shown (service-area). Recheck.</t>
        </is>
      </c>
      <c r="L78" s="26" t="inlineStr">
        <is>
          <t>Google Maps</t>
        </is>
      </c>
      <c r="M78" s="26" t="inlineStr">
        <is>
          <t>2026-07-02</t>
        </is>
      </c>
      <c r="N78" s="26" t="n"/>
      <c r="O78" s="26" t="n"/>
      <c r="P78" s="26" t="n"/>
    </row>
    <row r="79" ht="15.75" customHeight="1" s="21">
      <c r="A79" s="26" t="inlineStr">
        <is>
          <t>East Wenatchee</t>
        </is>
      </c>
      <c r="B79" s="26" t="inlineStr">
        <is>
          <t>Cozy Comfort</t>
        </is>
      </c>
      <c r="C79" s="26" t="n"/>
      <c r="D79" s="26" t="n"/>
      <c r="E79" s="26" t="n"/>
      <c r="F79" s="26" t="inlineStr">
        <is>
          <t>Not assessed</t>
        </is>
      </c>
      <c r="G79" s="26" t="n">
        <v>4.5</v>
      </c>
      <c r="H79" s="26" t="n">
        <v>8</v>
      </c>
      <c r="I79" s="31" t="inlineStr">
        <is>
          <t>Watch</t>
        </is>
      </c>
      <c r="J79" s="26" t="n"/>
      <c r="K79" s="26" t="inlineStr">
        <is>
          <t>Under 25 reviews (PASF via Climatek/Jay's). Recheck.</t>
        </is>
      </c>
      <c r="L79" s="26" t="inlineStr">
        <is>
          <t>PASF</t>
        </is>
      </c>
      <c r="M79" s="26" t="inlineStr">
        <is>
          <t>2026-07-02</t>
        </is>
      </c>
      <c r="N79" s="26" t="n"/>
      <c r="O79" s="26" t="n"/>
      <c r="P79" s="26" t="n"/>
    </row>
    <row r="80" ht="101.25" customHeight="1" s="21">
      <c r="A80" s="26" t="inlineStr">
        <is>
          <t>Bonney Lake</t>
        </is>
      </c>
      <c r="B80" s="26" t="inlineStr">
        <is>
          <t>House of Heat Inc</t>
        </is>
      </c>
      <c r="C80" s="26" t="inlineStr">
        <is>
          <t>(253) 862-9699</t>
        </is>
      </c>
      <c r="D80" s="26" t="inlineStr">
        <is>
          <t>No</t>
        </is>
      </c>
      <c r="E80" s="26" t="inlineStr">
        <is>
          <t>N/A</t>
        </is>
      </c>
      <c r="F80" s="26" t="n"/>
      <c r="G80" s="26" t="n"/>
      <c r="H80" s="26" t="n">
        <v>0</v>
      </c>
      <c r="I80" s="29" t="inlineStr">
        <is>
          <t>Hot</t>
        </is>
      </c>
      <c r="J80" s="26" t="inlineStr">
        <is>
          <t>Phil G Baker (L&amp;I principal)</t>
        </is>
      </c>
      <c r="K80" s="26" t="inlineStr">
        <is>
          <t>L&amp;I GOLDMINE FIND: HVAC license active 45.5 YEARS (since 1981-01-06), still active today - and ZERO Google presence (no GMB listing at all, search redirects to other businesses). The purest ProBook profile possible. CAVEAT: no reviews anywhere means quality/operating status unverified - confirm they're still actively taking residential work when calling. Phone from L&amp;I record.</t>
        </is>
      </c>
      <c r="L80" s="26" t="inlineStr">
        <is>
          <t>WA L&amp;I bulk dataset</t>
        </is>
      </c>
      <c r="M80" s="26" t="inlineStr">
        <is>
          <t>2026-07-02</t>
        </is>
      </c>
      <c r="N80" s="26" t="n"/>
      <c r="O80" s="26" t="n"/>
      <c r="P80" s="26" t="n"/>
    </row>
    <row r="81" ht="87" customHeight="1" s="21">
      <c r="A81" s="26" t="inlineStr">
        <is>
          <t>Carnation</t>
        </is>
      </c>
      <c r="B81" s="26" t="inlineStr">
        <is>
          <t>Action Heating &amp; Air Conditioning</t>
        </is>
      </c>
      <c r="C81" s="26" t="inlineStr">
        <is>
          <t>(425) 788-0985</t>
        </is>
      </c>
      <c r="D81" s="26" t="inlineStr">
        <is>
          <t>Yes</t>
        </is>
      </c>
      <c r="E81" s="26" t="inlineStr">
        <is>
          <t>actionhac.com</t>
        </is>
      </c>
      <c r="F81" s="26" t="inlineStr">
        <is>
          <t>Unverified</t>
        </is>
      </c>
      <c r="G81" s="26" t="n">
        <v>5</v>
      </c>
      <c r="H81" s="26" t="n">
        <v>6</v>
      </c>
      <c r="I81" s="31" t="inlineStr">
        <is>
          <t>Watch</t>
        </is>
      </c>
      <c r="J81" s="26" t="inlineStr">
        <is>
          <t>Bob</t>
        </is>
      </c>
      <c r="K81" s="26" t="inlineStr">
        <is>
          <t>L&amp;I GOLDMINE FIND: license active 43 YEARS (since 1983). 5.0 x 6 reviews spanning 8 years, owner/operator Bob, one-man shop per reviews. Has a domain (actionhac.com) that could not be auto-verified - CHECK MANUALLY before flagging Hot/Warm. Serves Carnation/Duvall area, 24hr.</t>
        </is>
      </c>
      <c r="L81" s="26" t="inlineStr">
        <is>
          <t>WA L&amp;I bulk dataset + Maps</t>
        </is>
      </c>
      <c r="M81" s="26" t="inlineStr">
        <is>
          <t>2026-07-02</t>
        </is>
      </c>
      <c r="N81" s="26" t="n"/>
      <c r="O81" s="26" t="n"/>
      <c r="P81" s="26" t="n"/>
    </row>
    <row r="82" ht="57.75" customHeight="1" s="21">
      <c r="A82" s="26" t="inlineStr">
        <is>
          <t>Snohomish</t>
        </is>
      </c>
      <c r="B82" s="26" t="inlineStr">
        <is>
          <t>Monroe Heating &amp; Refrigeration</t>
        </is>
      </c>
      <c r="C82" s="26" t="inlineStr">
        <is>
          <t>(360) 794-7914</t>
        </is>
      </c>
      <c r="D82" s="26" t="inlineStr">
        <is>
          <t>No</t>
        </is>
      </c>
      <c r="E82" s="26" t="inlineStr">
        <is>
          <t>N/A</t>
        </is>
      </c>
      <c r="F82" s="26" t="n"/>
      <c r="G82" s="26" t="n"/>
      <c r="H82" s="26" t="n">
        <v>0</v>
      </c>
      <c r="I82" s="29" t="inlineStr">
        <is>
          <t>Hot</t>
        </is>
      </c>
      <c r="J82" s="26" t="inlineStr">
        <is>
          <t>Russell P Stendera (L&amp;I principal)</t>
        </is>
      </c>
      <c r="K82" s="26" t="inlineStr">
        <is>
          <t>L&amp;I GOLDMINE FIND: license active 41 YEARS (since 1985-05-07), still active - ZERO Google presence (no GMB listing). Same profile as House of Heat. Verify operating status by phone. Phone from L&amp;I record.</t>
        </is>
      </c>
      <c r="L82" s="26" t="inlineStr">
        <is>
          <t>WA L&amp;I bulk dataset</t>
        </is>
      </c>
      <c r="M82" s="26" t="inlineStr">
        <is>
          <t>2026-07-02</t>
        </is>
      </c>
      <c r="N82" s="26" t="n"/>
      <c r="O82" s="26" t="n"/>
      <c r="P82" s="26" t="n"/>
    </row>
    <row r="83" ht="87" customHeight="1" s="21">
      <c r="A83" s="26" t="inlineStr">
        <is>
          <t>Snohomish</t>
        </is>
      </c>
      <c r="B83" s="26" t="inlineStr">
        <is>
          <t>Sammamish Heating &amp; Cooling</t>
        </is>
      </c>
      <c r="C83" s="26" t="inlineStr">
        <is>
          <t>(360) 668-4902</t>
        </is>
      </c>
      <c r="D83" s="26" t="inlineStr">
        <is>
          <t>No</t>
        </is>
      </c>
      <c r="E83" s="26" t="inlineStr">
        <is>
          <t>N/A</t>
        </is>
      </c>
      <c r="F83" s="26" t="n"/>
      <c r="G83" s="26" t="n">
        <v>5</v>
      </c>
      <c r="H83" s="26" t="n">
        <v>1</v>
      </c>
      <c r="I83" s="29" t="inlineStr">
        <is>
          <t>Hot</t>
        </is>
      </c>
      <c r="J83" s="26" t="inlineStr">
        <is>
          <t>Perry Cook</t>
        </is>
      </c>
      <c r="K83" s="26" t="inlineStr">
        <is>
          <t>L&amp;I GOLDMINE FIND: license active 32.7 YEARS (since 1993). UNCLAIMED Maps listing with 'Add website' prompt. Single review (from a Realtor, 6 yrs ago): 'I've had Perry Cook... service our furnaces for over 15 years... I recommend him to all of my clients.' Owner: Perry Cook. Zero web presence, decades of trade reputation.</t>
        </is>
      </c>
      <c r="L83" s="26" t="inlineStr">
        <is>
          <t>WA L&amp;I bulk dataset + Maps</t>
        </is>
      </c>
      <c r="M83" s="26" t="inlineStr">
        <is>
          <t>2026-07-02</t>
        </is>
      </c>
      <c r="N83" s="26" t="n"/>
      <c r="O83" s="26" t="n"/>
      <c r="P83" s="26" t="n"/>
    </row>
    <row r="84" ht="72" customHeight="1" s="21">
      <c r="A84" s="26" t="inlineStr">
        <is>
          <t>Nine Mile Falls</t>
        </is>
      </c>
      <c r="B84" s="26" t="inlineStr">
        <is>
          <t>L &amp; K Heating</t>
        </is>
      </c>
      <c r="C84" s="26" t="inlineStr">
        <is>
          <t>(509) 768-5601</t>
        </is>
      </c>
      <c r="D84" s="26" t="inlineStr">
        <is>
          <t>No</t>
        </is>
      </c>
      <c r="E84" s="26" t="inlineStr">
        <is>
          <t>N/A</t>
        </is>
      </c>
      <c r="F84" s="26" t="n"/>
      <c r="G84" s="26" t="n"/>
      <c r="H84" s="26" t="n">
        <v>0</v>
      </c>
      <c r="I84" s="29" t="inlineStr">
        <is>
          <t>Hot</t>
        </is>
      </c>
      <c r="J84" s="26" t="inlineStr">
        <is>
          <t>Larry Gene Lavalle (L&amp;I principal)</t>
        </is>
      </c>
      <c r="K84" s="26" t="inlineStr">
        <is>
          <t>L&amp;I GOLDMINE: license active 45.3 YEARS (since 1981-03-19). ZERO Google presence - the only Maps match for the name is an unrelated Texas company (254 area code, landkhvac.com). Spokane-area. Verify operating status when calling; phone from L&amp;I record.</t>
        </is>
      </c>
      <c r="L84" s="26" t="inlineStr">
        <is>
          <t>WA L&amp;I bulk dataset</t>
        </is>
      </c>
      <c r="M84" s="26" t="inlineStr">
        <is>
          <t>2026-07-02</t>
        </is>
      </c>
      <c r="N84" s="26" t="n"/>
      <c r="O84" s="26" t="n"/>
      <c r="P84" s="26" t="n"/>
    </row>
    <row r="85" ht="72" customHeight="1" s="21">
      <c r="A85" s="26" t="inlineStr">
        <is>
          <t>Suquamish</t>
        </is>
      </c>
      <c r="B85" s="26" t="inlineStr">
        <is>
          <t>Todd Sheet Metal</t>
        </is>
      </c>
      <c r="C85" s="26" t="inlineStr">
        <is>
          <t>(360) 598-4517</t>
        </is>
      </c>
      <c r="D85" s="26" t="inlineStr">
        <is>
          <t>No</t>
        </is>
      </c>
      <c r="E85" s="26" t="inlineStr">
        <is>
          <t>N/A</t>
        </is>
      </c>
      <c r="F85" s="26" t="n"/>
      <c r="G85" s="26" t="n">
        <v>5</v>
      </c>
      <c r="H85" s="26" t="n">
        <v>2</v>
      </c>
      <c r="I85" s="29" t="inlineStr">
        <is>
          <t>Hot</t>
        </is>
      </c>
      <c r="J85" s="26" t="inlineStr">
        <is>
          <t>Gary</t>
        </is>
      </c>
      <c r="K85" s="26" t="inlineStr">
        <is>
          <t>L&amp;I GOLDMINE: license active 45 YEARS (since 1981-07-01). UNCLAIMED Maps listing, 'Add website' prompt, no hours listed. 2 reviews confirm active HVAC work ('installed my new 5 ton heat pump and air handler', 8 months ago) and owner name Gary. Kitsap Peninsula.</t>
        </is>
      </c>
      <c r="L85" s="26" t="inlineStr">
        <is>
          <t>WA L&amp;I bulk dataset + Maps</t>
        </is>
      </c>
      <c r="M85" s="26" t="inlineStr">
        <is>
          <t>2026-07-02</t>
        </is>
      </c>
      <c r="N85" s="26" t="n"/>
      <c r="O85" s="26" t="n"/>
      <c r="P85" s="26" t="n"/>
    </row>
    <row r="86" ht="57.75" customHeight="1" s="21">
      <c r="A86" s="26" t="inlineStr">
        <is>
          <t>Issaquah</t>
        </is>
      </c>
      <c r="B86" s="26" t="inlineStr">
        <is>
          <t>P P S Heating &amp; A/C Inc</t>
        </is>
      </c>
      <c r="C86" s="26" t="inlineStr">
        <is>
          <t>(425) 747-2841</t>
        </is>
      </c>
      <c r="D86" s="26" t="inlineStr">
        <is>
          <t>No</t>
        </is>
      </c>
      <c r="E86" s="26" t="inlineStr">
        <is>
          <t>N/A</t>
        </is>
      </c>
      <c r="F86" s="26" t="n"/>
      <c r="G86" s="26" t="n"/>
      <c r="H86" s="26" t="n">
        <v>0</v>
      </c>
      <c r="I86" s="29" t="inlineStr">
        <is>
          <t>Hot</t>
        </is>
      </c>
      <c r="J86" s="26" t="inlineStr">
        <is>
          <t>Penny Ann Aske (L&amp;I principal)</t>
        </is>
      </c>
      <c r="K86" s="26" t="inlineStr">
        <is>
          <t>L&amp;I GOLDMINE: license active 39.3 YEARS (since 1987-03-01). ZERO Google presence - no GMB listing under any name variant. Eastside metro location. Verify operating status when calling; phone from L&amp;I record.</t>
        </is>
      </c>
      <c r="L86" s="26" t="inlineStr">
        <is>
          <t>WA L&amp;I bulk dataset</t>
        </is>
      </c>
      <c r="M86" s="26" t="inlineStr">
        <is>
          <t>2026-07-02</t>
        </is>
      </c>
      <c r="N86" s="26" t="n"/>
      <c r="O86" s="26" t="n"/>
      <c r="P86" s="26" t="n"/>
    </row>
    <row r="87" ht="72" customHeight="1" s="21">
      <c r="A87" s="26" t="inlineStr">
        <is>
          <t>Spokane</t>
        </is>
      </c>
      <c r="B87" s="26" t="inlineStr">
        <is>
          <t>Tim's Comfort Plus</t>
        </is>
      </c>
      <c r="C87" s="26" t="inlineStr">
        <is>
          <t>(509) 534-6558</t>
        </is>
      </c>
      <c r="D87" s="26" t="inlineStr">
        <is>
          <t>No</t>
        </is>
      </c>
      <c r="E87" s="26" t="inlineStr">
        <is>
          <t>N/A</t>
        </is>
      </c>
      <c r="F87" s="26" t="n"/>
      <c r="G87" s="26" t="n"/>
      <c r="H87" s="26" t="n">
        <v>0</v>
      </c>
      <c r="I87" s="29" t="inlineStr">
        <is>
          <t>Hot</t>
        </is>
      </c>
      <c r="J87" s="26" t="inlineStr">
        <is>
          <t>Tim</t>
        </is>
      </c>
      <c r="K87" s="26" t="inlineStr">
        <is>
          <t>L&amp;I GOLDMINE: license active 35.1 YEARS (since 1991-05-17). No GMB under its own name. NOTE: a 'Sam's Heating &amp; Cooling Comfort Plus' (4.7/15) exists in Spokane and a review there says 'Tim is awesome' - possibly related/renamed; clarify on the call. Phone from L&amp;I record.</t>
        </is>
      </c>
      <c r="L87" s="26" t="inlineStr">
        <is>
          <t>WA L&amp;I bulk dataset</t>
        </is>
      </c>
      <c r="M87" s="26" t="inlineStr">
        <is>
          <t>2026-07-02</t>
        </is>
      </c>
      <c r="N87" s="26" t="n"/>
      <c r="O87" s="26" t="n"/>
      <c r="P87" s="26" t="n"/>
    </row>
    <row r="88" ht="72" customHeight="1" s="21">
      <c r="A88" s="26" t="inlineStr">
        <is>
          <t>Yakima</t>
        </is>
      </c>
      <c r="B88" s="26" t="inlineStr">
        <is>
          <t>Salazar Specialized Services</t>
        </is>
      </c>
      <c r="C88" s="26" t="inlineStr">
        <is>
          <t>(509) 457-7176</t>
        </is>
      </c>
      <c r="D88" s="26" t="inlineStr">
        <is>
          <t>No</t>
        </is>
      </c>
      <c r="E88" s="26" t="inlineStr">
        <is>
          <t>N/A</t>
        </is>
      </c>
      <c r="F88" s="26" t="n"/>
      <c r="G88" s="26" t="n"/>
      <c r="H88" s="26" t="n">
        <v>0</v>
      </c>
      <c r="I88" s="29" t="inlineStr">
        <is>
          <t>Hot</t>
        </is>
      </c>
      <c r="J88" s="26" t="n"/>
      <c r="K88" s="26" t="inlineStr">
        <is>
          <t>L&amp;I GOLDMINE: license active 34.5 YEARS (since 1991-12-23). ZERO Google presence. Yakima - pairs with the confirmed-saturated Yakima core where an invisible old-timer is losing everything to Vance/Campbell. Phone from L&amp;I record.</t>
        </is>
      </c>
      <c r="L88" s="26" t="inlineStr">
        <is>
          <t>WA L&amp;I bulk dataset</t>
        </is>
      </c>
      <c r="M88" s="26" t="inlineStr">
        <is>
          <t>2026-07-02</t>
        </is>
      </c>
      <c r="N88" s="26" t="n"/>
      <c r="O88" s="26" t="n"/>
      <c r="P88" s="26" t="n"/>
    </row>
    <row r="89" ht="72" customHeight="1" s="21">
      <c r="A89" s="26" t="inlineStr">
        <is>
          <t>Spokane Valley</t>
        </is>
      </c>
      <c r="B89" s="26" t="inlineStr">
        <is>
          <t>B &amp; C Heating &amp; Air Conditioning</t>
        </is>
      </c>
      <c r="C89" s="26" t="inlineStr">
        <is>
          <t>(509) 927-8861</t>
        </is>
      </c>
      <c r="D89" s="26" t="inlineStr">
        <is>
          <t>No</t>
        </is>
      </c>
      <c r="E89" s="26" t="inlineStr">
        <is>
          <t>N/A</t>
        </is>
      </c>
      <c r="F89" s="26" t="n"/>
      <c r="G89" s="26" t="n">
        <v>4.9</v>
      </c>
      <c r="H89" s="26" t="n">
        <v>7</v>
      </c>
      <c r="I89" s="29" t="inlineStr">
        <is>
          <t>Hot</t>
        </is>
      </c>
      <c r="J89" s="26" t="inlineStr">
        <is>
          <t>Bill</t>
        </is>
      </c>
      <c r="K89" s="26" t="inlineStr">
        <is>
          <t>L&amp;I GOLDMINE: license active 33.9 YEARS (since 1992-07-23). Maps listing has 'Add website' + 'Add hours' prompts = no website, minimal listing management. 4.9 stars, owner Bill praised by name across reviews spanning 8 years. 14412 E Cataldo Ave, Spokane Valley.</t>
        </is>
      </c>
      <c r="L89" s="26" t="inlineStr">
        <is>
          <t>WA L&amp;I bulk dataset + Maps</t>
        </is>
      </c>
      <c r="M89" s="26" t="inlineStr">
        <is>
          <t>2026-07-02</t>
        </is>
      </c>
      <c r="N89" s="26" t="n"/>
      <c r="O89" s="26" t="n"/>
      <c r="P89" s="26" t="n"/>
    </row>
    <row r="90" ht="72" customHeight="1" s="21">
      <c r="A90" s="26" t="inlineStr">
        <is>
          <t>Port Orchard</t>
        </is>
      </c>
      <c r="B90" s="26" t="inlineStr">
        <is>
          <t>CJ's Quality Air Systems Inc</t>
        </is>
      </c>
      <c r="C90" s="26" t="inlineStr">
        <is>
          <t>(253) 857-5220</t>
        </is>
      </c>
      <c r="D90" s="26" t="inlineStr">
        <is>
          <t>Yes</t>
        </is>
      </c>
      <c r="E90" s="26" t="inlineStr">
        <is>
          <t>cjsqualityairsystems.com</t>
        </is>
      </c>
      <c r="F90" s="26" t="inlineStr">
        <is>
          <t>Unverified</t>
        </is>
      </c>
      <c r="G90" s="26" t="n">
        <v>4.9</v>
      </c>
      <c r="H90" s="26" t="n">
        <v>15</v>
      </c>
      <c r="I90" s="31" t="inlineStr">
        <is>
          <t>Watch</t>
        </is>
      </c>
      <c r="J90" s="26" t="inlineStr">
        <is>
          <t>Curtis W Jackson (L&amp;I principal)</t>
        </is>
      </c>
      <c r="K90" s="26" t="inlineStr">
        <is>
          <t>L&amp;I GOLDMINE: license active 32.7 YEARS (since 1993-11-03). Qualifies via L&amp;I longevity path. Family-owned, 4.9 x 15. Site exists but NOT yet quality-checked - verify cjsqualityairsystems.com next session, could upgrade to Warm or resolve to Skip.</t>
        </is>
      </c>
      <c r="L90" s="26" t="inlineStr">
        <is>
          <t>WA L&amp;I bulk dataset + Maps</t>
        </is>
      </c>
      <c r="M90" s="26" t="inlineStr">
        <is>
          <t>2026-07-02</t>
        </is>
      </c>
      <c r="N90" s="26" t="n"/>
      <c r="O90" s="26" t="n"/>
      <c r="P90" s="26" t="n"/>
    </row>
    <row r="91" ht="72" customHeight="1" s="21">
      <c r="A91" s="26" t="inlineStr">
        <is>
          <t>Yakima</t>
        </is>
      </c>
      <c r="B91" s="26" t="inlineStr">
        <is>
          <t>Eaton's Refrigeration</t>
        </is>
      </c>
      <c r="C91" s="26" t="inlineStr">
        <is>
          <t>(509) 575-6340</t>
        </is>
      </c>
      <c r="D91" s="26" t="inlineStr">
        <is>
          <t>No</t>
        </is>
      </c>
      <c r="E91" s="26" t="inlineStr">
        <is>
          <t>N/A</t>
        </is>
      </c>
      <c r="F91" s="26" t="n"/>
      <c r="G91" s="26" t="n"/>
      <c r="H91" s="26" t="n">
        <v>0</v>
      </c>
      <c r="I91" s="29" t="inlineStr">
        <is>
          <t>Hot</t>
        </is>
      </c>
      <c r="J91" s="26" t="inlineStr">
        <is>
          <t>Brian K Eaton (L&amp;I principal)</t>
        </is>
      </c>
      <c r="K91" s="26" t="inlineStr">
        <is>
          <t>L&amp;I GOLDMINE: license active 32 YEARS (since 1994-07-01, and holds a second license from 2000). ZERO Google presence - no GMB under its name. Refrigeration/HVAC in the saturated Yakima core where invisibility is fatal. Phone from L&amp;I record.</t>
        </is>
      </c>
      <c r="L91" s="26" t="inlineStr">
        <is>
          <t>WA L&amp;I bulk dataset</t>
        </is>
      </c>
      <c r="M91" s="26" t="inlineStr">
        <is>
          <t>2026-07-02</t>
        </is>
      </c>
      <c r="N91" s="26" t="n"/>
      <c r="O91" s="26" t="n"/>
      <c r="P91" s="26" t="n"/>
    </row>
    <row r="92" ht="58" customHeight="1" s="21">
      <c r="A92" s="32" t="inlineStr">
        <is>
          <t>Renton</t>
        </is>
      </c>
      <c r="B92" s="32" t="inlineStr">
        <is>
          <t>Complete Heating &amp; A/C</t>
        </is>
      </c>
      <c r="C92" s="32" t="inlineStr">
        <is>
          <t>(253) 867-1000</t>
        </is>
      </c>
      <c r="D92" s="32" t="inlineStr">
        <is>
          <t>No</t>
        </is>
      </c>
      <c r="E92" s="32" t="inlineStr">
        <is>
          <t>N/A</t>
        </is>
      </c>
      <c r="F92" s="32" t="inlineStr"/>
      <c r="G92" s="32" t="n"/>
      <c r="H92" s="32" t="n"/>
      <c r="I92" s="33" t="inlineStr">
        <is>
          <t>Hot</t>
        </is>
      </c>
      <c r="J92" s="32" t="inlineStr"/>
      <c r="K92" s="32" t="inlineStr">
        <is>
          <t>LEGACY IMPORT from old hvac-prospects.xlsx (pre-Round-9 0-5 scoring) - re-verify current status before calling. No website found — 35+ year old company running entirely on referrals</t>
        </is>
      </c>
      <c r="L92" s="32" t="inlineStr">
        <is>
          <t>Legacy tracker</t>
        </is>
      </c>
      <c r="M92" s="32" t="inlineStr">
        <is>
          <t>2026-07-02</t>
        </is>
      </c>
      <c r="N92" s="32" t="inlineStr"/>
      <c r="O92" s="32" t="inlineStr"/>
      <c r="P92" s="32" t="inlineStr"/>
    </row>
    <row r="93" ht="58" customHeight="1" s="21">
      <c r="A93" s="32" t="inlineStr">
        <is>
          <t>Walla Walla</t>
        </is>
      </c>
      <c r="B93" s="32" t="inlineStr">
        <is>
          <t>Young's Heating and Cooling</t>
        </is>
      </c>
      <c r="C93" s="32" t="inlineStr">
        <is>
          <t>(509) 525-4328</t>
        </is>
      </c>
      <c r="D93" s="32" t="inlineStr">
        <is>
          <t>No</t>
        </is>
      </c>
      <c r="E93" s="32" t="inlineStr">
        <is>
          <t>N/A</t>
        </is>
      </c>
      <c r="F93" s="32" t="inlineStr"/>
      <c r="G93" s="32" t="n"/>
      <c r="H93" s="32" t="n"/>
      <c r="I93" s="33" t="inlineStr">
        <is>
          <t>Hot</t>
        </is>
      </c>
      <c r="J93" s="32" t="inlineStr"/>
      <c r="K93" s="32" t="inlineStr">
        <is>
          <t>LEGACY IMPORT from old hvac-prospects.xlsx (pre-Round-9 0-5 scoring) - re-verify current status before calling. No website found — small owner-operated shop in Walla Walla</t>
        </is>
      </c>
      <c r="L93" s="32" t="inlineStr">
        <is>
          <t>Legacy tracker</t>
        </is>
      </c>
      <c r="M93" s="32" t="inlineStr">
        <is>
          <t>2026-07-02</t>
        </is>
      </c>
      <c r="N93" s="32" t="inlineStr"/>
      <c r="O93" s="32" t="inlineStr"/>
      <c r="P93" s="32" t="inlineStr"/>
    </row>
    <row r="94" ht="58" customHeight="1" s="21">
      <c r="A94" s="32" t="inlineStr">
        <is>
          <t>Walla Walla</t>
        </is>
      </c>
      <c r="B94" s="32" t="inlineStr">
        <is>
          <t>American Air Heating &amp; Cooling</t>
        </is>
      </c>
      <c r="C94" s="32" t="inlineStr">
        <is>
          <t>(509) 529-0800</t>
        </is>
      </c>
      <c r="D94" s="32" t="inlineStr">
        <is>
          <t>No</t>
        </is>
      </c>
      <c r="E94" s="32" t="inlineStr">
        <is>
          <t>N/A</t>
        </is>
      </c>
      <c r="F94" s="32" t="inlineStr"/>
      <c r="G94" s="32" t="n"/>
      <c r="H94" s="32" t="n"/>
      <c r="I94" s="33" t="inlineStr">
        <is>
          <t>Hot</t>
        </is>
      </c>
      <c r="J94" s="32" t="inlineStr"/>
      <c r="K94" s="32" t="inlineStr">
        <is>
          <t>LEGACY IMPORT from old hvac-prospects.xlsx (pre-Round-9 0-5 scoring) - re-verify current status before calling. No website found — Walla Walla local operator, directory listing only</t>
        </is>
      </c>
      <c r="L94" s="32" t="inlineStr">
        <is>
          <t>Legacy tracker</t>
        </is>
      </c>
      <c r="M94" s="32" t="inlineStr">
        <is>
          <t>2026-07-02</t>
        </is>
      </c>
      <c r="N94" s="32" t="inlineStr"/>
      <c r="O94" s="32" t="inlineStr"/>
      <c r="P94" s="32" t="inlineStr"/>
    </row>
    <row r="95" ht="58" customHeight="1" s="21">
      <c r="A95" s="32" t="inlineStr">
        <is>
          <t>Spokane</t>
        </is>
      </c>
      <c r="B95" s="32" t="inlineStr">
        <is>
          <t>HVAC 1 Pros</t>
        </is>
      </c>
      <c r="C95" s="32" t="inlineStr">
        <is>
          <t>(509) 218-1716</t>
        </is>
      </c>
      <c r="D95" s="32" t="inlineStr">
        <is>
          <t>Yes</t>
        </is>
      </c>
      <c r="E95" s="32" t="inlineStr">
        <is>
          <t>hvac1pros.com</t>
        </is>
      </c>
      <c r="F95" s="32" t="inlineStr">
        <is>
          <t>Legacy score 1/5</t>
        </is>
      </c>
      <c r="G95" s="32" t="n"/>
      <c r="H95" s="32" t="n"/>
      <c r="I95" s="34" t="inlineStr">
        <is>
          <t>Warm</t>
        </is>
      </c>
      <c r="J95" s="32" t="inlineStr"/>
      <c r="K95" s="32" t="inlineStr">
        <is>
          <t>LEGACY IMPORT from old hvac-prospects.xlsx (pre-Round-9 0-5 scoring) - re-verify current status before calling. One-page site with no lead form, no reviews, stock-photo only design</t>
        </is>
      </c>
      <c r="L95" s="32" t="inlineStr">
        <is>
          <t>Legacy tracker</t>
        </is>
      </c>
      <c r="M95" s="32" t="inlineStr">
        <is>
          <t>2026-07-02</t>
        </is>
      </c>
      <c r="N95" s="32" t="inlineStr"/>
      <c r="O95" s="32" t="inlineStr"/>
      <c r="P95" s="32" t="inlineStr"/>
    </row>
    <row r="96" ht="72.5" customHeight="1" s="21">
      <c r="A96" s="32" t="inlineStr">
        <is>
          <t>Kennewick</t>
        </is>
      </c>
      <c r="B96" s="32" t="inlineStr">
        <is>
          <t>Bob Rhodes Heating &amp; AC</t>
        </is>
      </c>
      <c r="C96" s="32" t="inlineStr">
        <is>
          <t>(509) 783-3291</t>
        </is>
      </c>
      <c r="D96" s="32" t="inlineStr">
        <is>
          <t>Yes</t>
        </is>
      </c>
      <c r="E96" s="32" t="inlineStr">
        <is>
          <t>bobrhodesheatingandac.com</t>
        </is>
      </c>
      <c r="F96" s="32" t="inlineStr">
        <is>
          <t>Legacy score 2/5</t>
        </is>
      </c>
      <c r="G96" s="32" t="n"/>
      <c r="H96" s="32" t="n"/>
      <c r="I96" s="34" t="inlineStr">
        <is>
          <t>Warm</t>
        </is>
      </c>
      <c r="J96" s="32" t="inlineStr"/>
      <c r="K96" s="32" t="inlineStr">
        <is>
          <t>LEGACY IMPORT from old hvac-prospects.xlsx (pre-Round-9 0-5 scoring) - re-verify current status before calling. Very old CMS template, no lead form, no reviews displayed on homepage ALSO ON L&amp;I GOLDMINE (license since 2000-07-17).</t>
        </is>
      </c>
      <c r="L96" s="32" t="inlineStr">
        <is>
          <t>Legacy tracker</t>
        </is>
      </c>
      <c r="M96" s="32" t="inlineStr">
        <is>
          <t>2026-07-02</t>
        </is>
      </c>
      <c r="N96" s="32" t="inlineStr"/>
      <c r="O96" s="32" t="inlineStr"/>
      <c r="P96" s="32" t="inlineStr"/>
    </row>
    <row r="97" ht="58" customHeight="1" s="21">
      <c r="A97" s="32" t="inlineStr">
        <is>
          <t>Spokane</t>
        </is>
      </c>
      <c r="B97" s="32" t="inlineStr">
        <is>
          <t>Air Design</t>
        </is>
      </c>
      <c r="C97" s="32" t="inlineStr"/>
      <c r="D97" s="32" t="inlineStr">
        <is>
          <t>Yes</t>
        </is>
      </c>
      <c r="E97" s="32" t="inlineStr">
        <is>
          <t>airdesignspokane.com</t>
        </is>
      </c>
      <c r="F97" s="32" t="inlineStr">
        <is>
          <t>Legacy score 2/5</t>
        </is>
      </c>
      <c r="G97" s="32" t="n"/>
      <c r="H97" s="32" t="n"/>
      <c r="I97" s="34" t="inlineStr">
        <is>
          <t>Warm</t>
        </is>
      </c>
      <c r="J97" s="32" t="inlineStr"/>
      <c r="K97" s="32" t="inlineStr">
        <is>
          <t>LEGACY IMPORT from old hvac-prospects.xlsx (pre-Round-9 0-5 scoring) - re-verify current status before calling. In business since 1979; dated site with no lead form or social proof</t>
        </is>
      </c>
      <c r="L97" s="32" t="inlineStr">
        <is>
          <t>Legacy tracker</t>
        </is>
      </c>
      <c r="M97" s="32" t="inlineStr">
        <is>
          <t>2026-07-02</t>
        </is>
      </c>
      <c r="N97" s="32" t="inlineStr"/>
      <c r="O97" s="32" t="inlineStr"/>
      <c r="P97" s="32" t="inlineStr"/>
    </row>
    <row r="98" ht="58" customHeight="1" s="21">
      <c r="A98" s="32" t="inlineStr">
        <is>
          <t>Lynnwood</t>
        </is>
      </c>
      <c r="B98" s="32" t="inlineStr">
        <is>
          <t>Nortech Heating &amp; Refrigeration</t>
        </is>
      </c>
      <c r="C98" s="32" t="inlineStr">
        <is>
          <t>(425) 775-0808</t>
        </is>
      </c>
      <c r="D98" s="32" t="inlineStr">
        <is>
          <t>Yes</t>
        </is>
      </c>
      <c r="E98" s="32" t="inlineStr">
        <is>
          <t>nortechservices.com</t>
        </is>
      </c>
      <c r="F98" s="32" t="inlineStr">
        <is>
          <t>Legacy score 2/5</t>
        </is>
      </c>
      <c r="G98" s="32" t="n"/>
      <c r="H98" s="32" t="n"/>
      <c r="I98" s="34" t="inlineStr">
        <is>
          <t>Warm</t>
        </is>
      </c>
      <c r="J98" s="32" t="inlineStr"/>
      <c r="K98" s="32" t="inlineStr">
        <is>
          <t>LEGACY IMPORT from old hvac-prospects.xlsx (pre-Round-9 0-5 scoring) - re-verify current status before calling. Commercial-heavy site with poor residential lead capture and old design</t>
        </is>
      </c>
      <c r="L98" s="32" t="inlineStr">
        <is>
          <t>Legacy tracker</t>
        </is>
      </c>
      <c r="M98" s="32" t="inlineStr">
        <is>
          <t>2026-07-02</t>
        </is>
      </c>
      <c r="N98" s="32" t="inlineStr"/>
      <c r="O98" s="32" t="inlineStr"/>
      <c r="P98" s="32" t="inlineStr"/>
    </row>
    <row r="99" ht="72.5" customHeight="1" s="21">
      <c r="A99" s="32" t="inlineStr">
        <is>
          <t>Spokane</t>
        </is>
      </c>
      <c r="B99" s="32" t="inlineStr">
        <is>
          <t>Evergreen Heating &amp; Cooling</t>
        </is>
      </c>
      <c r="C99" s="32" t="inlineStr">
        <is>
          <t>(509) 534-8305</t>
        </is>
      </c>
      <c r="D99" s="32" t="inlineStr">
        <is>
          <t>Yes</t>
        </is>
      </c>
      <c r="E99" s="32" t="inlineStr">
        <is>
          <t>evergreenheatcool.com</t>
        </is>
      </c>
      <c r="F99" s="32" t="inlineStr">
        <is>
          <t>Legacy score 2/5</t>
        </is>
      </c>
      <c r="G99" s="32" t="n"/>
      <c r="H99" s="32" t="n"/>
      <c r="I99" s="34" t="inlineStr">
        <is>
          <t>Warm</t>
        </is>
      </c>
      <c r="J99" s="32" t="inlineStr"/>
      <c r="K99" s="32" t="inlineStr">
        <is>
          <t>LEGACY IMPORT from old hvac-prospects.xlsx (pre-Round-9 0-5 scoring) - re-verify current status before calling. Long-running Spokane company with outdated site, no lead form or reviews ALSO ON L&amp;I GOLDMINE (license since 2005-10-12).</t>
        </is>
      </c>
      <c r="L99" s="32" t="inlineStr">
        <is>
          <t>Legacy tracker</t>
        </is>
      </c>
      <c r="M99" s="32" t="inlineStr">
        <is>
          <t>2026-07-02</t>
        </is>
      </c>
      <c r="N99" s="32" t="inlineStr"/>
      <c r="O99" s="32" t="inlineStr"/>
      <c r="P99" s="32" t="inlineStr"/>
    </row>
    <row r="100" ht="72.5" customHeight="1" s="21">
      <c r="A100" s="32" t="inlineStr">
        <is>
          <t>Tacoma</t>
        </is>
      </c>
      <c r="B100" s="32" t="inlineStr">
        <is>
          <t>Above the Best Heating &amp; Air</t>
        </is>
      </c>
      <c r="C100" s="32" t="inlineStr"/>
      <c r="D100" s="32" t="inlineStr">
        <is>
          <t>Yes</t>
        </is>
      </c>
      <c r="E100" s="32" t="inlineStr">
        <is>
          <t>abovethebesthvac.com</t>
        </is>
      </c>
      <c r="F100" s="32" t="inlineStr">
        <is>
          <t>Legacy score 2/5</t>
        </is>
      </c>
      <c r="G100" s="32" t="n"/>
      <c r="H100" s="32" t="n"/>
      <c r="I100" s="34" t="inlineStr">
        <is>
          <t>Warm</t>
        </is>
      </c>
      <c r="J100" s="32" t="inlineStr"/>
      <c r="K100" s="32" t="inlineStr">
        <is>
          <t>LEGACY IMPORT from old hvac-prospects.xlsx (pre-Round-9 0-5 scoring) - re-verify current status before calling. Small operator, basic template site with no lead form or social proof ALSO ON L&amp;I GOLDMINE (license since 2008-05-12).</t>
        </is>
      </c>
      <c r="L100" s="32" t="inlineStr">
        <is>
          <t>Legacy tracker</t>
        </is>
      </c>
      <c r="M100" s="32" t="inlineStr">
        <is>
          <t>2026-07-02</t>
        </is>
      </c>
      <c r="N100" s="32" t="inlineStr"/>
      <c r="O100" s="32" t="inlineStr"/>
      <c r="P100" s="32" t="inlineStr"/>
    </row>
    <row r="101" ht="58" customHeight="1" s="21">
      <c r="A101" s="32" t="inlineStr">
        <is>
          <t>Bremerton</t>
        </is>
      </c>
      <c r="B101" s="32" t="inlineStr">
        <is>
          <t>Burdick Heating</t>
        </is>
      </c>
      <c r="C101" s="32" t="inlineStr">
        <is>
          <t>(360) 377-0373</t>
        </is>
      </c>
      <c r="D101" s="32" t="inlineStr">
        <is>
          <t>Yes</t>
        </is>
      </c>
      <c r="E101" s="32" t="inlineStr">
        <is>
          <t>burdickheating.com</t>
        </is>
      </c>
      <c r="F101" s="32" t="inlineStr">
        <is>
          <t>Legacy score 2/5</t>
        </is>
      </c>
      <c r="G101" s="32" t="n"/>
      <c r="H101" s="32" t="n"/>
      <c r="I101" s="34" t="inlineStr">
        <is>
          <t>Warm</t>
        </is>
      </c>
      <c r="J101" s="32" t="inlineStr"/>
      <c r="K101" s="32" t="inlineStr">
        <is>
          <t>LEGACY IMPORT from old hvac-prospects.xlsx (pre-Round-9 0-5 scoring) - re-verify current status before calling. Commercial-focused older site, weak residential presence, no lead form</t>
        </is>
      </c>
      <c r="L101" s="32" t="inlineStr">
        <is>
          <t>Legacy tracker</t>
        </is>
      </c>
      <c r="M101" s="32" t="inlineStr">
        <is>
          <t>2026-07-02</t>
        </is>
      </c>
      <c r="N101" s="32" t="inlineStr"/>
      <c r="O101" s="32" t="inlineStr"/>
      <c r="P101" s="32" t="inlineStr"/>
    </row>
    <row r="102" ht="58" customHeight="1" s="21">
      <c r="A102" s="32" t="inlineStr">
        <is>
          <t>Vancouver WA</t>
        </is>
      </c>
      <c r="B102" s="32" t="inlineStr">
        <is>
          <t>Advanced Air Systems</t>
        </is>
      </c>
      <c r="C102" s="32" t="inlineStr"/>
      <c r="D102" s="32" t="inlineStr">
        <is>
          <t>Yes</t>
        </is>
      </c>
      <c r="E102" s="32" t="inlineStr">
        <is>
          <t>advancedairsystems.net</t>
        </is>
      </c>
      <c r="F102" s="32" t="inlineStr">
        <is>
          <t>Legacy score 2/5</t>
        </is>
      </c>
      <c r="G102" s="32" t="n"/>
      <c r="H102" s="32" t="n"/>
      <c r="I102" s="34" t="inlineStr">
        <is>
          <t>Warm</t>
        </is>
      </c>
      <c r="J102" s="32" t="inlineStr"/>
      <c r="K102" s="32" t="inlineStr">
        <is>
          <t>LEGACY IMPORT from old hvac-prospects.xlsx (pre-Round-9 0-5 scoring) - re-verify current status before calling. Older site lacking modern design, no lead capture form or reviews</t>
        </is>
      </c>
      <c r="L102" s="32" t="inlineStr">
        <is>
          <t>Legacy tracker</t>
        </is>
      </c>
      <c r="M102" s="32" t="inlineStr">
        <is>
          <t>2026-07-02</t>
        </is>
      </c>
      <c r="N102" s="32" t="inlineStr"/>
      <c r="O102" s="32" t="inlineStr"/>
      <c r="P102" s="32" t="inlineStr"/>
    </row>
    <row r="103" ht="58" customHeight="1" s="21">
      <c r="A103" s="32" t="inlineStr">
        <is>
          <t>Vancouver WA</t>
        </is>
      </c>
      <c r="B103" s="32" t="inlineStr">
        <is>
          <t>Smart Choice HVAC</t>
        </is>
      </c>
      <c r="C103" s="32" t="inlineStr"/>
      <c r="D103" s="32" t="inlineStr">
        <is>
          <t>Yes</t>
        </is>
      </c>
      <c r="E103" s="32" t="inlineStr">
        <is>
          <t>smartchoicehvac.com</t>
        </is>
      </c>
      <c r="F103" s="32" t="inlineStr">
        <is>
          <t>Legacy score 2/5</t>
        </is>
      </c>
      <c r="G103" s="32" t="n"/>
      <c r="H103" s="32" t="n"/>
      <c r="I103" s="34" t="inlineStr">
        <is>
          <t>Warm</t>
        </is>
      </c>
      <c r="J103" s="32" t="inlineStr"/>
      <c r="K103" s="32" t="inlineStr">
        <is>
          <t>LEGACY IMPORT from old hvac-prospects.xlsx (pre-Round-9 0-5 scoring) - re-verify current status before calling. Family-owned Clark County company, basic site missing lead generation</t>
        </is>
      </c>
      <c r="L103" s="32" t="inlineStr">
        <is>
          <t>Legacy tracker</t>
        </is>
      </c>
      <c r="M103" s="32" t="inlineStr">
        <is>
          <t>2026-07-02</t>
        </is>
      </c>
      <c r="N103" s="32" t="inlineStr"/>
      <c r="O103" s="32" t="inlineStr"/>
      <c r="P103" s="32" t="inlineStr"/>
    </row>
    <row r="104" ht="58" customHeight="1" s="21">
      <c r="A104" s="32" t="inlineStr">
        <is>
          <t>Vancouver WA</t>
        </is>
      </c>
      <c r="B104" s="32" t="inlineStr">
        <is>
          <t>All Seasons HVAC</t>
        </is>
      </c>
      <c r="C104" s="32" t="inlineStr"/>
      <c r="D104" s="32" t="inlineStr">
        <is>
          <t>Yes</t>
        </is>
      </c>
      <c r="E104" s="32" t="inlineStr">
        <is>
          <t>allseasonshvac.com</t>
        </is>
      </c>
      <c r="F104" s="32" t="inlineStr">
        <is>
          <t>Legacy score 2/5</t>
        </is>
      </c>
      <c r="G104" s="32" t="n"/>
      <c r="H104" s="32" t="n"/>
      <c r="I104" s="34" t="inlineStr">
        <is>
          <t>Warm</t>
        </is>
      </c>
      <c r="J104" s="32" t="inlineStr"/>
      <c r="K104" s="32" t="inlineStr">
        <is>
          <t>LEGACY IMPORT from old hvac-prospects.xlsx (pre-Round-9 0-5 scoring) - re-verify current status before calling. 30+ year old company with basic site, no form, no reviews on homepage</t>
        </is>
      </c>
      <c r="L104" s="32" t="inlineStr">
        <is>
          <t>Legacy tracker</t>
        </is>
      </c>
      <c r="M104" s="32" t="inlineStr">
        <is>
          <t>2026-07-02</t>
        </is>
      </c>
      <c r="N104" s="32" t="inlineStr"/>
      <c r="O104" s="32" t="inlineStr"/>
      <c r="P104" s="32" t="inlineStr"/>
    </row>
    <row r="105" ht="58" customHeight="1" s="21">
      <c r="A105" s="32" t="inlineStr">
        <is>
          <t>Vancouver WA</t>
        </is>
      </c>
      <c r="B105" s="32" t="inlineStr">
        <is>
          <t>SureTech Heating &amp; Cooling</t>
        </is>
      </c>
      <c r="C105" s="32" t="inlineStr"/>
      <c r="D105" s="32" t="inlineStr">
        <is>
          <t>Yes</t>
        </is>
      </c>
      <c r="E105" s="32" t="inlineStr">
        <is>
          <t>suretechhvac.com</t>
        </is>
      </c>
      <c r="F105" s="32" t="inlineStr">
        <is>
          <t>Legacy score 2/5</t>
        </is>
      </c>
      <c r="G105" s="32" t="n"/>
      <c r="H105" s="32" t="n"/>
      <c r="I105" s="34" t="inlineStr">
        <is>
          <t>Warm</t>
        </is>
      </c>
      <c r="J105" s="32" t="inlineStr"/>
      <c r="K105" s="32" t="inlineStr">
        <is>
          <t>LEGACY IMPORT from old hvac-prospects.xlsx (pre-Round-9 0-5 scoring) - re-verify current status before calling. Locally-owned Clark County company, basic site with no lead capture</t>
        </is>
      </c>
      <c r="L105" s="32" t="inlineStr">
        <is>
          <t>Legacy tracker</t>
        </is>
      </c>
      <c r="M105" s="32" t="inlineStr">
        <is>
          <t>2026-07-02</t>
        </is>
      </c>
      <c r="N105" s="32" t="inlineStr"/>
      <c r="O105" s="32" t="inlineStr"/>
      <c r="P105" s="32" t="inlineStr"/>
    </row>
    <row r="106" ht="72.5" customHeight="1" s="21">
      <c r="A106" s="32" t="inlineStr">
        <is>
          <t>Everett</t>
        </is>
      </c>
      <c r="B106" s="32" t="inlineStr">
        <is>
          <t>Five Star Mechanical</t>
        </is>
      </c>
      <c r="C106" s="32" t="inlineStr">
        <is>
          <t>(253) 852-8284</t>
        </is>
      </c>
      <c r="D106" s="32" t="inlineStr">
        <is>
          <t>Yes</t>
        </is>
      </c>
      <c r="E106" s="32" t="inlineStr">
        <is>
          <t>fivestarmech.com</t>
        </is>
      </c>
      <c r="F106" s="32" t="inlineStr">
        <is>
          <t>Legacy score 2/5</t>
        </is>
      </c>
      <c r="G106" s="32" t="n"/>
      <c r="H106" s="32" t="n"/>
      <c r="I106" s="34" t="inlineStr">
        <is>
          <t>Warm</t>
        </is>
      </c>
      <c r="J106" s="32" t="inlineStr"/>
      <c r="K106" s="32" t="inlineStr">
        <is>
          <t>LEGACY IMPORT from old hvac-prospects.xlsx (pre-Round-9 0-5 scoring) - re-verify current status before calling. Commercial-heavy site, no residential lead form, design needs update ALSO ON L&amp;I GOLDMINE (license since 2000-02-23).</t>
        </is>
      </c>
      <c r="L106" s="32" t="inlineStr">
        <is>
          <t>Legacy tracker</t>
        </is>
      </c>
      <c r="M106" s="32" t="inlineStr">
        <is>
          <t>2026-07-02</t>
        </is>
      </c>
      <c r="N106" s="32" t="inlineStr"/>
      <c r="O106" s="32" t="inlineStr"/>
      <c r="P106" s="32" t="inlineStr"/>
    </row>
    <row r="107" ht="58" customHeight="1" s="21">
      <c r="A107" s="32" t="inlineStr">
        <is>
          <t>Kennewick</t>
        </is>
      </c>
      <c r="B107" s="32" t="inlineStr">
        <is>
          <t>A-One Air</t>
        </is>
      </c>
      <c r="C107" s="32" t="inlineStr"/>
      <c r="D107" s="32" t="inlineStr">
        <is>
          <t>Yes</t>
        </is>
      </c>
      <c r="E107" s="32" t="inlineStr">
        <is>
          <t>aonerefrigeration.com</t>
        </is>
      </c>
      <c r="F107" s="32" t="inlineStr">
        <is>
          <t>Legacy score 2/5</t>
        </is>
      </c>
      <c r="G107" s="32" t="n"/>
      <c r="H107" s="32" t="n"/>
      <c r="I107" s="34" t="inlineStr">
        <is>
          <t>Warm</t>
        </is>
      </c>
      <c r="J107" s="32" t="inlineStr"/>
      <c r="K107" s="32" t="inlineStr">
        <is>
          <t>LEGACY IMPORT from old hvac-prospects.xlsx (pre-Round-9 0-5 scoring) - re-verify current status before calling. 45+ year old company, basic site with no lead form, no reviews shown</t>
        </is>
      </c>
      <c r="L107" s="32" t="inlineStr">
        <is>
          <t>Legacy tracker</t>
        </is>
      </c>
      <c r="M107" s="32" t="inlineStr">
        <is>
          <t>2026-07-02</t>
        </is>
      </c>
      <c r="N107" s="32" t="inlineStr"/>
      <c r="O107" s="32" t="inlineStr"/>
      <c r="P107" s="32" t="inlineStr"/>
    </row>
    <row r="108" ht="58" customHeight="1" s="21">
      <c r="A108" s="32" t="inlineStr">
        <is>
          <t>Kennewick</t>
        </is>
      </c>
      <c r="B108" s="32" t="inlineStr">
        <is>
          <t>Tri City Heating &amp; Air</t>
        </is>
      </c>
      <c r="C108" s="32" t="inlineStr"/>
      <c r="D108" s="32" t="inlineStr">
        <is>
          <t>Yes</t>
        </is>
      </c>
      <c r="E108" s="32" t="inlineStr">
        <is>
          <t>tricitiesheating.com</t>
        </is>
      </c>
      <c r="F108" s="32" t="inlineStr">
        <is>
          <t>Legacy score 2/5</t>
        </is>
      </c>
      <c r="G108" s="32" t="n"/>
      <c r="H108" s="32" t="n"/>
      <c r="I108" s="34" t="inlineStr">
        <is>
          <t>Warm</t>
        </is>
      </c>
      <c r="J108" s="32" t="inlineStr"/>
      <c r="K108" s="32" t="inlineStr">
        <is>
          <t>LEGACY IMPORT from old hvac-prospects.xlsx (pre-Round-9 0-5 scoring) - re-verify current status before calling. Small Tri-Cities operator, basic template site, no lead gen features</t>
        </is>
      </c>
      <c r="L108" s="32" t="inlineStr">
        <is>
          <t>Legacy tracker</t>
        </is>
      </c>
      <c r="M108" s="32" t="inlineStr">
        <is>
          <t>2026-07-02</t>
        </is>
      </c>
      <c r="N108" s="32" t="inlineStr"/>
      <c r="O108" s="32" t="inlineStr"/>
      <c r="P108" s="32" t="inlineStr"/>
    </row>
    <row r="109" ht="72.5" customHeight="1" s="21">
      <c r="A109" s="32" t="inlineStr">
        <is>
          <t>Pasco</t>
        </is>
      </c>
      <c r="B109" s="32" t="inlineStr">
        <is>
          <t>Total Quality Air</t>
        </is>
      </c>
      <c r="C109" s="32" t="inlineStr"/>
      <c r="D109" s="32" t="inlineStr">
        <is>
          <t>Yes</t>
        </is>
      </c>
      <c r="E109" s="32" t="inlineStr">
        <is>
          <t>tricitiesheatingandair.com</t>
        </is>
      </c>
      <c r="F109" s="32" t="inlineStr">
        <is>
          <t>Legacy score 2/5</t>
        </is>
      </c>
      <c r="G109" s="32" t="n"/>
      <c r="H109" s="32" t="n"/>
      <c r="I109" s="34" t="inlineStr">
        <is>
          <t>Warm</t>
        </is>
      </c>
      <c r="J109" s="32" t="inlineStr"/>
      <c r="K109" s="32" t="inlineStr">
        <is>
          <t>LEGACY IMPORT from old hvac-prospects.xlsx (pre-Round-9 0-5 scoring) - re-verify current status before calling. Small Pasco operator with basic site lacking lead capture and booking ALSO ON L&amp;I GOLDMINE (license since 2010-11-02).</t>
        </is>
      </c>
      <c r="L109" s="32" t="inlineStr">
        <is>
          <t>Legacy tracker</t>
        </is>
      </c>
      <c r="M109" s="32" t="inlineStr">
        <is>
          <t>2026-07-02</t>
        </is>
      </c>
      <c r="N109" s="32" t="inlineStr"/>
      <c r="O109" s="32" t="inlineStr"/>
      <c r="P109" s="32" t="inlineStr"/>
    </row>
    <row r="110" ht="58" customHeight="1" s="21">
      <c r="A110" s="32" t="inlineStr">
        <is>
          <t>Port Orchard</t>
        </is>
      </c>
      <c r="B110" s="32" t="inlineStr">
        <is>
          <t>Air Management Solutions</t>
        </is>
      </c>
      <c r="C110" s="32" t="inlineStr"/>
      <c r="D110" s="32" t="inlineStr">
        <is>
          <t>Yes</t>
        </is>
      </c>
      <c r="E110" s="32" t="inlineStr">
        <is>
          <t>airmanagementsolutionsllc.com</t>
        </is>
      </c>
      <c r="F110" s="32" t="inlineStr">
        <is>
          <t>Legacy score 2/5</t>
        </is>
      </c>
      <c r="G110" s="32" t="n"/>
      <c r="H110" s="32" t="n"/>
      <c r="I110" s="34" t="inlineStr">
        <is>
          <t>Warm</t>
        </is>
      </c>
      <c r="J110" s="32" t="inlineStr"/>
      <c r="K110" s="32" t="inlineStr">
        <is>
          <t>LEGACY IMPORT from old hvac-prospects.xlsx (pre-Round-9 0-5 scoring) - re-verify current status before calling. Commercial HVAC focus, basic site with poor residential conversion</t>
        </is>
      </c>
      <c r="L110" s="32" t="inlineStr">
        <is>
          <t>Legacy tracker</t>
        </is>
      </c>
      <c r="M110" s="32" t="inlineStr">
        <is>
          <t>2026-07-02</t>
        </is>
      </c>
      <c r="N110" s="32" t="inlineStr"/>
      <c r="O110" s="32" t="inlineStr"/>
      <c r="P110" s="32" t="inlineStr"/>
    </row>
    <row r="111" ht="58" customHeight="1" s="21">
      <c r="A111" s="32" t="inlineStr">
        <is>
          <t>Olympia</t>
        </is>
      </c>
      <c r="B111" s="32" t="inlineStr">
        <is>
          <t>NW Power and Air</t>
        </is>
      </c>
      <c r="C111" s="32" t="inlineStr"/>
      <c r="D111" s="32" t="inlineStr">
        <is>
          <t>Yes</t>
        </is>
      </c>
      <c r="E111" s="32" t="inlineStr">
        <is>
          <t>nw-powerair.com</t>
        </is>
      </c>
      <c r="F111" s="32" t="inlineStr">
        <is>
          <t>Legacy score 2/5</t>
        </is>
      </c>
      <c r="G111" s="32" t="n"/>
      <c r="H111" s="32" t="n"/>
      <c r="I111" s="34" t="inlineStr">
        <is>
          <t>Warm</t>
        </is>
      </c>
      <c r="J111" s="32" t="inlineStr"/>
      <c r="K111" s="32" t="inlineStr">
        <is>
          <t>LEGACY IMPORT from old hvac-prospects.xlsx (pre-Round-9 0-5 scoring) - re-verify current status before calling. Small locally owned Thurston County company, basic site missing key features</t>
        </is>
      </c>
      <c r="L111" s="32" t="inlineStr">
        <is>
          <t>Legacy tracker</t>
        </is>
      </c>
      <c r="M111" s="32" t="inlineStr">
        <is>
          <t>2026-07-02</t>
        </is>
      </c>
      <c r="N111" s="32" t="inlineStr"/>
      <c r="O111" s="32" t="inlineStr"/>
      <c r="P111" s="32" t="inlineStr"/>
    </row>
    <row r="112" ht="58" customHeight="1" s="21">
      <c r="A112" s="32" t="inlineStr">
        <is>
          <t>Auburn</t>
        </is>
      </c>
      <c r="B112" s="32" t="inlineStr">
        <is>
          <t>Universal Refrigeration</t>
        </is>
      </c>
      <c r="C112" s="32" t="inlineStr">
        <is>
          <t>(253) 833-8555</t>
        </is>
      </c>
      <c r="D112" s="32" t="inlineStr">
        <is>
          <t>Yes</t>
        </is>
      </c>
      <c r="E112" s="32" t="inlineStr">
        <is>
          <t>universalrefrig.com</t>
        </is>
      </c>
      <c r="F112" s="32" t="inlineStr">
        <is>
          <t>Legacy score 2/5</t>
        </is>
      </c>
      <c r="G112" s="32" t="n"/>
      <c r="H112" s="32" t="n"/>
      <c r="I112" s="34" t="inlineStr">
        <is>
          <t>Warm</t>
        </is>
      </c>
      <c r="J112" s="32" t="inlineStr"/>
      <c r="K112" s="32" t="inlineStr">
        <is>
          <t>LEGACY IMPORT from old hvac-prospects.xlsx (pre-Round-9 0-5 scoring) - re-verify current status before calling. Older company with basic site, no lead capture or visible customer reviews</t>
        </is>
      </c>
      <c r="L112" s="32" t="inlineStr">
        <is>
          <t>Legacy tracker</t>
        </is>
      </c>
      <c r="M112" s="32" t="inlineStr">
        <is>
          <t>2026-07-02</t>
        </is>
      </c>
      <c r="N112" s="32" t="inlineStr"/>
      <c r="O112" s="32" t="inlineStr"/>
      <c r="P112" s="32" t="inlineStr"/>
    </row>
    <row r="113" ht="58" customHeight="1" s="21">
      <c r="A113" s="32" t="inlineStr">
        <is>
          <t>Everett</t>
        </is>
      </c>
      <c r="B113" s="32" t="inlineStr">
        <is>
          <t>HVAC Morgan Company</t>
        </is>
      </c>
      <c r="C113" s="32" t="inlineStr"/>
      <c r="D113" s="32" t="inlineStr">
        <is>
          <t>Yes</t>
        </is>
      </c>
      <c r="E113" s="32" t="inlineStr">
        <is>
          <t>hvacmorgan.com</t>
        </is>
      </c>
      <c r="F113" s="32" t="inlineStr">
        <is>
          <t>Legacy score 2/5</t>
        </is>
      </c>
      <c r="G113" s="32" t="n"/>
      <c r="H113" s="32" t="n"/>
      <c r="I113" s="34" t="inlineStr">
        <is>
          <t>Warm</t>
        </is>
      </c>
      <c r="J113" s="32" t="inlineStr"/>
      <c r="K113" s="32" t="inlineStr">
        <is>
          <t>LEGACY IMPORT from old hvac-prospects.xlsx (pre-Round-9 0-5 scoring) - re-verify current status before calling. Commercial HVAC focus, weak residential web presence and no lead form</t>
        </is>
      </c>
      <c r="L113" s="32" t="inlineStr">
        <is>
          <t>Legacy tracker</t>
        </is>
      </c>
      <c r="M113" s="32" t="inlineStr">
        <is>
          <t>2026-07-02</t>
        </is>
      </c>
      <c r="N113" s="32" t="inlineStr"/>
      <c r="O113" s="32" t="inlineStr"/>
      <c r="P113" s="32" t="inlineStr"/>
    </row>
    <row r="114" ht="58" customHeight="1" s="21">
      <c r="A114" s="32" t="inlineStr">
        <is>
          <t>Tacoma</t>
        </is>
      </c>
      <c r="B114" s="32" t="inlineStr">
        <is>
          <t>Tahoma Heating and Cooling</t>
        </is>
      </c>
      <c r="C114" s="32" t="inlineStr">
        <is>
          <t>(253) 301-1521</t>
        </is>
      </c>
      <c r="D114" s="32" t="inlineStr">
        <is>
          <t>Yes</t>
        </is>
      </c>
      <c r="E114" s="32" t="inlineStr">
        <is>
          <t>tahomaheatingandcooling.com</t>
        </is>
      </c>
      <c r="F114" s="32" t="inlineStr">
        <is>
          <t>Legacy score 3/5</t>
        </is>
      </c>
      <c r="G114" s="32" t="n"/>
      <c r="H114" s="32" t="n"/>
      <c r="I114" s="34" t="inlineStr">
        <is>
          <t>Warm</t>
        </is>
      </c>
      <c r="J114" s="32" t="inlineStr"/>
      <c r="K114" s="32" t="inlineStr">
        <is>
          <t>LEGACY IMPORT from old hvac-prospects.xlsx (pre-Round-9 0-5 scoring) - re-verify current status before calling. Outdated WordPress 5.9 build, no inline lead form, no online booking</t>
        </is>
      </c>
      <c r="L114" s="32" t="inlineStr">
        <is>
          <t>Legacy tracker</t>
        </is>
      </c>
      <c r="M114" s="32" t="inlineStr">
        <is>
          <t>2026-07-02</t>
        </is>
      </c>
      <c r="N114" s="32" t="inlineStr"/>
      <c r="O114" s="32" t="inlineStr"/>
      <c r="P114" s="32" t="inlineStr"/>
    </row>
    <row r="115" ht="72.5" customHeight="1" s="21">
      <c r="A115" s="32" t="inlineStr">
        <is>
          <t>Gig Harbor</t>
        </is>
      </c>
      <c r="B115" s="32" t="inlineStr">
        <is>
          <t>Kohler Heating &amp; AC</t>
        </is>
      </c>
      <c r="C115" s="32" t="inlineStr">
        <is>
          <t>(253) 851-5454</t>
        </is>
      </c>
      <c r="D115" s="32" t="inlineStr">
        <is>
          <t>Yes</t>
        </is>
      </c>
      <c r="E115" s="32" t="inlineStr">
        <is>
          <t>kohlerheating.com</t>
        </is>
      </c>
      <c r="F115" s="32" t="inlineStr">
        <is>
          <t>Legacy score 3/5</t>
        </is>
      </c>
      <c r="G115" s="32" t="n"/>
      <c r="H115" s="32" t="n"/>
      <c r="I115" s="34" t="inlineStr">
        <is>
          <t>Warm</t>
        </is>
      </c>
      <c r="J115" s="32" t="inlineStr"/>
      <c r="K115" s="32" t="inlineStr">
        <is>
          <t>LEGACY IMPORT from old hvac-prospects.xlsx (pre-Round-9 0-5 scoring) - re-verify current status before calling. Largest Pierce/South King company but site lacks lead form and modern design ALSO ON L&amp;I GOLDMINE (license since 2005-09-21).</t>
        </is>
      </c>
      <c r="L115" s="32" t="inlineStr">
        <is>
          <t>Legacy tracker</t>
        </is>
      </c>
      <c r="M115" s="32" t="inlineStr">
        <is>
          <t>2026-07-02</t>
        </is>
      </c>
      <c r="N115" s="32" t="inlineStr"/>
      <c r="O115" s="32" t="inlineStr"/>
      <c r="P115" s="32" t="inlineStr"/>
    </row>
    <row r="116" ht="72.5" customHeight="1" s="21">
      <c r="A116" s="32" t="inlineStr">
        <is>
          <t>Bellingham</t>
        </is>
      </c>
      <c r="B116" s="32" t="inlineStr">
        <is>
          <t>Marr's Heating &amp; AC</t>
        </is>
      </c>
      <c r="C116" s="32" t="inlineStr"/>
      <c r="D116" s="32" t="inlineStr">
        <is>
          <t>Yes</t>
        </is>
      </c>
      <c r="E116" s="32" t="inlineStr">
        <is>
          <t>marrsheating.com</t>
        </is>
      </c>
      <c r="F116" s="32" t="inlineStr">
        <is>
          <t>Legacy score 3/5</t>
        </is>
      </c>
      <c r="G116" s="32" t="n"/>
      <c r="H116" s="32" t="n"/>
      <c r="I116" s="34" t="inlineStr">
        <is>
          <t>Warm</t>
        </is>
      </c>
      <c r="J116" s="32" t="inlineStr"/>
      <c r="K116" s="32" t="inlineStr">
        <is>
          <t>LEGACY IMPORT from old hvac-prospects.xlsx (pre-Round-9 0-5 scoring) - re-verify current status before calling. Trusted Whatcom County company but website is outdated, no lead form ALSO ON L&amp;I GOLDMINE (license since 2000-02-28).</t>
        </is>
      </c>
      <c r="L116" s="32" t="inlineStr">
        <is>
          <t>Legacy tracker</t>
        </is>
      </c>
      <c r="M116" s="32" t="inlineStr">
        <is>
          <t>2026-07-02</t>
        </is>
      </c>
      <c r="N116" s="32" t="inlineStr"/>
      <c r="O116" s="32" t="inlineStr"/>
      <c r="P116" s="32" t="inlineStr"/>
    </row>
    <row r="117" ht="58" customHeight="1" s="21">
      <c r="A117" s="32" t="inlineStr">
        <is>
          <t>Kennewick</t>
        </is>
      </c>
      <c r="B117" s="32" t="inlineStr">
        <is>
          <t>Welch Heating &amp; Air</t>
        </is>
      </c>
      <c r="C117" s="32" t="inlineStr"/>
      <c r="D117" s="32" t="inlineStr">
        <is>
          <t>Yes</t>
        </is>
      </c>
      <c r="E117" s="32" t="inlineStr">
        <is>
          <t>welchheatingandac.com</t>
        </is>
      </c>
      <c r="F117" s="32" t="inlineStr">
        <is>
          <t>Legacy score 3/5</t>
        </is>
      </c>
      <c r="G117" s="32" t="n"/>
      <c r="H117" s="32" t="n"/>
      <c r="I117" s="34" t="inlineStr">
        <is>
          <t>Warm</t>
        </is>
      </c>
      <c r="J117" s="32" t="inlineStr"/>
      <c r="K117" s="32" t="inlineStr">
        <is>
          <t>LEGACY IMPORT from old hvac-prospects.xlsx (pre-Round-9 0-5 scoring) - re-verify current status before calling. Decent site but no lead form, design is dated, no auto-booking</t>
        </is>
      </c>
      <c r="L117" s="32" t="inlineStr">
        <is>
          <t>Legacy tracker</t>
        </is>
      </c>
      <c r="M117" s="32" t="inlineStr">
        <is>
          <t>2026-07-02</t>
        </is>
      </c>
      <c r="N117" s="32" t="inlineStr"/>
      <c r="O117" s="32" t="inlineStr"/>
      <c r="P117" s="32" t="inlineStr"/>
    </row>
    <row r="118" ht="72.5" customHeight="1" s="21">
      <c r="A118" s="32" t="inlineStr">
        <is>
          <t>Vancouver WA</t>
        </is>
      </c>
      <c r="B118" s="32" t="inlineStr">
        <is>
          <t>Tri-Tech Heating</t>
        </is>
      </c>
      <c r="C118" s="32" t="inlineStr"/>
      <c r="D118" s="32" t="inlineStr">
        <is>
          <t>Yes</t>
        </is>
      </c>
      <c r="E118" s="32" t="inlineStr">
        <is>
          <t>tri-techheating.com</t>
        </is>
      </c>
      <c r="F118" s="32" t="inlineStr">
        <is>
          <t>Legacy score 3/5</t>
        </is>
      </c>
      <c r="G118" s="32" t="n"/>
      <c r="H118" s="32" t="n"/>
      <c r="I118" s="34" t="inlineStr">
        <is>
          <t>Warm</t>
        </is>
      </c>
      <c r="J118" s="32" t="inlineStr"/>
      <c r="K118" s="32" t="inlineStr">
        <is>
          <t>LEGACY IMPORT from old hvac-prospects.xlsx (pre-Round-9 0-5 scoring) - re-verify current status before calling. Clark County company with decent site but missing lead form and auto-booking ALSO ON L&amp;I GOLDMINE (license since 2005-06-13).</t>
        </is>
      </c>
      <c r="L118" s="32" t="inlineStr">
        <is>
          <t>Legacy tracker</t>
        </is>
      </c>
      <c r="M118" s="32" t="inlineStr">
        <is>
          <t>2026-07-02</t>
        </is>
      </c>
      <c r="N118" s="32" t="inlineStr"/>
      <c r="O118" s="32" t="inlineStr"/>
      <c r="P118" s="32" t="inlineStr"/>
    </row>
    <row r="119" ht="43.5" customHeight="1" s="21">
      <c r="A119" s="32" t="inlineStr">
        <is>
          <t>Bothell</t>
        </is>
      </c>
      <c r="B119" s="32" t="inlineStr">
        <is>
          <t>Custom Design Mechanical Inc</t>
        </is>
      </c>
      <c r="C119" s="32" t="inlineStr">
        <is>
          <t>(206) 819-4408</t>
        </is>
      </c>
      <c r="D119" s="32" t="inlineStr">
        <is>
          <t>No</t>
        </is>
      </c>
      <c r="E119" s="32" t="inlineStr">
        <is>
          <t>N/A</t>
        </is>
      </c>
      <c r="F119" s="32" t="inlineStr"/>
      <c r="G119" s="32" t="n"/>
      <c r="H119" s="32" t="n">
        <v>0</v>
      </c>
      <c r="I119" s="33" t="inlineStr">
        <is>
          <t>Hot</t>
        </is>
      </c>
      <c r="J119" s="32" t="inlineStr"/>
      <c r="K119" s="32" t="inlineStr">
        <is>
          <t>L&amp;I GOLDMINE: license active 31.6 YEARS (since 1994-11-20). ZERO Google presence - no GMB under any variant. Phone from L&amp;I record.</t>
        </is>
      </c>
      <c r="L119" s="32" t="inlineStr">
        <is>
          <t>WA L&amp;I bulk dataset</t>
        </is>
      </c>
      <c r="M119" s="32" t="inlineStr">
        <is>
          <t>2026-07-02</t>
        </is>
      </c>
      <c r="N119" s="32" t="inlineStr"/>
      <c r="O119" s="32" t="inlineStr"/>
      <c r="P119" s="32" t="inlineStr"/>
    </row>
    <row r="120" ht="72.5" customHeight="1" s="21">
      <c r="A120" s="32" t="inlineStr">
        <is>
          <t>Spokane</t>
        </is>
      </c>
      <c r="B120" s="32" t="inlineStr">
        <is>
          <t>D &amp; M Refrigeration Inc</t>
        </is>
      </c>
      <c r="C120" s="32" t="inlineStr">
        <is>
          <t>(509) 535-9912</t>
        </is>
      </c>
      <c r="D120" s="32" t="inlineStr">
        <is>
          <t>No</t>
        </is>
      </c>
      <c r="E120" s="32" t="inlineStr">
        <is>
          <t>N/A</t>
        </is>
      </c>
      <c r="F120" s="32" t="inlineStr"/>
      <c r="G120" s="32" t="n">
        <v>4.2</v>
      </c>
      <c r="H120" s="32" t="n">
        <v>10</v>
      </c>
      <c r="I120" s="33" t="inlineStr">
        <is>
          <t>Hot</t>
        </is>
      </c>
      <c r="J120" s="32" t="inlineStr">
        <is>
          <t>Duane</t>
        </is>
      </c>
      <c r="K120" s="32" t="inlineStr">
        <is>
          <t>L&amp;I GOLDMINE: license active 29.9 YEARS (since 1996, second license 2000). 'Add website' prompt on Maps. Father-son business, owner Duane. Reviews lean commercial/restaurant refrigeration but include full system replacements. 4.2 x 10.</t>
        </is>
      </c>
      <c r="L120" s="32" t="inlineStr">
        <is>
          <t>WA L&amp;I bulk dataset + Maps</t>
        </is>
      </c>
      <c r="M120" s="32" t="inlineStr">
        <is>
          <t>2026-07-02</t>
        </is>
      </c>
      <c r="N120" s="32" t="inlineStr"/>
      <c r="O120" s="32" t="inlineStr"/>
      <c r="P120" s="32" t="inlineStr"/>
    </row>
    <row r="121" ht="72.5" customHeight="1" s="21">
      <c r="A121" s="32" t="inlineStr">
        <is>
          <t>Woodinville</t>
        </is>
      </c>
      <c r="B121" s="32" t="inlineStr">
        <is>
          <t>Bassett Home Heating Inc</t>
        </is>
      </c>
      <c r="C121" s="32" t="inlineStr">
        <is>
          <t>(425) 398-1666</t>
        </is>
      </c>
      <c r="D121" s="32" t="inlineStr">
        <is>
          <t>Yes</t>
        </is>
      </c>
      <c r="E121" s="32" t="inlineStr">
        <is>
          <t>bassetthomeheating.com</t>
        </is>
      </c>
      <c r="F121" s="32" t="inlineStr">
        <is>
          <t>Unverified</t>
        </is>
      </c>
      <c r="G121" s="32" t="n">
        <v>4.9</v>
      </c>
      <c r="H121" s="32" t="n">
        <v>54</v>
      </c>
      <c r="I121" s="44" t="inlineStr">
        <is>
          <t>Watch</t>
        </is>
      </c>
      <c r="J121" s="32" t="inlineStr">
        <is>
          <t>John Bassett</t>
        </is>
      </c>
      <c r="K121" s="32" t="inlineStr">
        <is>
          <t>L&amp;I GOLDMINE: license active 29.6 YEARS (since 1996). QUALIFIES ON NUMBERS (4.9 x 54) - parked as Watch only because bassetthomeheating.com is blocked from automated checking. Classify Warm/Skip after a manual look at the site. Owner John Bassett responds to reviews.</t>
        </is>
      </c>
      <c r="L121" s="32" t="inlineStr">
        <is>
          <t>WA L&amp;I bulk dataset + Maps</t>
        </is>
      </c>
      <c r="M121" s="32" t="inlineStr">
        <is>
          <t>2026-07-02</t>
        </is>
      </c>
      <c r="N121" s="32" t="inlineStr"/>
      <c r="O121" s="32" t="inlineStr"/>
      <c r="P121" s="32" t="inlineStr"/>
    </row>
    <row r="122" ht="29" customHeight="1" s="21">
      <c r="A122" s="32" t="inlineStr">
        <is>
          <t>Snohomish</t>
        </is>
      </c>
      <c r="B122" s="32" t="inlineStr">
        <is>
          <t>Choice Home Services Inc</t>
        </is>
      </c>
      <c r="C122" s="32" t="inlineStr">
        <is>
          <t>(360) 568-7900</t>
        </is>
      </c>
      <c r="D122" s="32" t="inlineStr">
        <is>
          <t>No</t>
        </is>
      </c>
      <c r="E122" s="32" t="inlineStr">
        <is>
          <t>N/A</t>
        </is>
      </c>
      <c r="F122" s="32" t="inlineStr"/>
      <c r="G122" s="32" t="n"/>
      <c r="H122" s="32" t="n">
        <v>0</v>
      </c>
      <c r="I122" s="33" t="inlineStr">
        <is>
          <t>Hot</t>
        </is>
      </c>
      <c r="J122" s="32" t="inlineStr">
        <is>
          <t>Scott A Zaro (L&amp;I principal)</t>
        </is>
      </c>
      <c r="K122" s="32" t="inlineStr">
        <is>
          <t>L&amp;I GOLDMINE: license active 29.4 YEARS (since 1997-01-31). ZERO Google presence. Phone from L&amp;I record.</t>
        </is>
      </c>
      <c r="L122" s="32" t="inlineStr">
        <is>
          <t>WA L&amp;I bulk dataset</t>
        </is>
      </c>
      <c r="M122" s="32" t="inlineStr">
        <is>
          <t>2026-07-02</t>
        </is>
      </c>
      <c r="N122" s="32" t="inlineStr"/>
      <c r="O122" s="32" t="inlineStr"/>
      <c r="P122" s="32" t="inlineStr"/>
    </row>
    <row r="123" ht="87" customHeight="1" s="21">
      <c r="A123" s="32" t="inlineStr">
        <is>
          <t>Tonasket</t>
        </is>
      </c>
      <c r="B123" s="32" t="inlineStr">
        <is>
          <t>Naylors Appliance &amp; Refrigeration</t>
        </is>
      </c>
      <c r="C123" s="32" t="inlineStr">
        <is>
          <t>(509) 486-2351</t>
        </is>
      </c>
      <c r="D123" s="32" t="inlineStr">
        <is>
          <t>No</t>
        </is>
      </c>
      <c r="E123" s="32" t="inlineStr">
        <is>
          <t>N/A</t>
        </is>
      </c>
      <c r="F123" s="32" t="inlineStr"/>
      <c r="G123" s="32" t="n"/>
      <c r="H123" s="32" t="n">
        <v>0</v>
      </c>
      <c r="I123" s="33" t="inlineStr">
        <is>
          <t>Hot</t>
        </is>
      </c>
      <c r="J123" s="32" t="inlineStr"/>
      <c r="K123" s="32" t="inlineStr">
        <is>
          <t>L&amp;I GOLDMINE: license active 28.9 YEARS (since 1997, second license 2000). ZERO Google presence. Remote Okanogan County (Tonasket) - deep rural, matches best-hit-rate isolation profile. Appliance/refrigeration lean per name - confirm HVAC share of business on call. Phone from L&amp;I record.</t>
        </is>
      </c>
      <c r="L123" s="32" t="inlineStr">
        <is>
          <t>WA L&amp;I bulk dataset</t>
        </is>
      </c>
      <c r="M123" s="32" t="inlineStr">
        <is>
          <t>2026-07-02</t>
        </is>
      </c>
      <c r="N123" s="32" t="inlineStr"/>
      <c r="O123" s="32" t="inlineStr"/>
      <c r="P123" s="32" t="inlineStr"/>
    </row>
    <row r="124" ht="58" customHeight="1" s="21">
      <c r="A124" s="32" t="inlineStr">
        <is>
          <t>Spokane Valley</t>
        </is>
      </c>
      <c r="B124" s="32" t="inlineStr">
        <is>
          <t>Comfort Mechanical Contractors Inc</t>
        </is>
      </c>
      <c r="C124" s="32" t="inlineStr">
        <is>
          <t>(509) 928-0207</t>
        </is>
      </c>
      <c r="D124" s="32" t="inlineStr">
        <is>
          <t>Yes</t>
        </is>
      </c>
      <c r="E124" s="32" t="inlineStr">
        <is>
          <t>comfortmechanicalcontractors.com</t>
        </is>
      </c>
      <c r="F124" s="32" t="inlineStr">
        <is>
          <t>Unverified</t>
        </is>
      </c>
      <c r="G124" s="32" t="n">
        <v>5</v>
      </c>
      <c r="H124" s="32" t="n">
        <v>4</v>
      </c>
      <c r="I124" s="44" t="inlineStr">
        <is>
          <t>Watch</t>
        </is>
      </c>
      <c r="J124" s="32" t="inlineStr">
        <is>
          <t>Steve</t>
        </is>
      </c>
      <c r="K124" s="32" t="inlineStr">
        <is>
          <t>L&amp;I GOLDMINE: license active 29.2 YEARS (since 1997, second license 2000). Qualifies via L&amp;I longevity path. 5.0 x 4, owner Steve responds to reviews. Site not auto-verified - classify after manual look.</t>
        </is>
      </c>
      <c r="L124" s="32" t="inlineStr">
        <is>
          <t>WA L&amp;I bulk dataset + Maps</t>
        </is>
      </c>
      <c r="M124" s="32" t="inlineStr">
        <is>
          <t>2026-07-02</t>
        </is>
      </c>
      <c r="N124" s="32" t="inlineStr"/>
      <c r="O124" s="32" t="inlineStr"/>
      <c r="P124" s="32" t="inlineStr"/>
    </row>
    <row r="125" ht="72.5" customHeight="1" s="21">
      <c r="A125" s="32" t="inlineStr">
        <is>
          <t>Kent</t>
        </is>
      </c>
      <c r="B125" s="32" t="inlineStr">
        <is>
          <t>Atlas Heating Inc</t>
        </is>
      </c>
      <c r="C125" s="32" t="inlineStr">
        <is>
          <t>(253) 854-2404</t>
        </is>
      </c>
      <c r="D125" s="32" t="inlineStr">
        <is>
          <t>Yes</t>
        </is>
      </c>
      <c r="E125" s="32" t="inlineStr">
        <is>
          <t>atlasheating.net</t>
        </is>
      </c>
      <c r="F125" s="32" t="inlineStr">
        <is>
          <t>Unverified</t>
        </is>
      </c>
      <c r="G125" s="32" t="n">
        <v>5</v>
      </c>
      <c r="H125" s="32" t="n">
        <v>5</v>
      </c>
      <c r="I125" s="44" t="inlineStr">
        <is>
          <t>Watch</t>
        </is>
      </c>
      <c r="J125" s="32" t="inlineStr">
        <is>
          <t>Scott</t>
        </is>
      </c>
      <c r="K125" s="32" t="inlineStr">
        <is>
          <t>L&amp;I GOLDMINE: license active 28.4 YEARS (since 1998). UNCLAIMED listing with 'Add hours' prompt. Owner Scott, one-man shop, 20+ year customer relationships per reviews. atlasheating.net blocked from auto-check - verify manually; if dead/dated this upgrades to Hot/Warm.</t>
        </is>
      </c>
      <c r="L125" s="32" t="inlineStr">
        <is>
          <t>WA L&amp;I bulk dataset + Maps</t>
        </is>
      </c>
      <c r="M125" s="32" t="inlineStr">
        <is>
          <t>2026-07-02</t>
        </is>
      </c>
      <c r="N125" s="32" t="inlineStr"/>
      <c r="O125" s="32" t="inlineStr"/>
      <c r="P125" s="32" t="inlineStr"/>
    </row>
    <row r="126" ht="72.5" customHeight="1" s="21">
      <c r="A126" s="32" t="inlineStr">
        <is>
          <t>Redmond</t>
        </is>
      </c>
      <c r="B126" s="32" t="inlineStr">
        <is>
          <t>Perfect Climate Inc</t>
        </is>
      </c>
      <c r="C126" s="32" t="inlineStr">
        <is>
          <t>(206) 977-7353 / (425) 260-6955 (L&amp;I)</t>
        </is>
      </c>
      <c r="D126" s="32" t="inlineStr">
        <is>
          <t>No</t>
        </is>
      </c>
      <c r="E126" s="32" t="inlineStr">
        <is>
          <t>N/A</t>
        </is>
      </c>
      <c r="F126" s="32" t="inlineStr">
        <is>
          <t>N/A</t>
        </is>
      </c>
      <c r="G126" s="32" t="inlineStr">
        <is>
          <t>1.0</t>
        </is>
      </c>
      <c r="H126" s="32" t="inlineStr">
        <is>
          <t>1</t>
        </is>
      </c>
      <c r="I126" s="33" t="inlineStr">
        <is>
          <t>Hot</t>
        </is>
      </c>
      <c r="J126" s="32" t="inlineStr">
        <is>
          <t>Paul Gnamathu Joseph (L&amp;I principal)</t>
        </is>
      </c>
      <c r="K126" s="32" t="inlineStr">
        <is>
          <t>GOLDMINE (28.3-yr license, 1998). L&amp;I LONGEVITY PATH. Unclaimed GMB, "Add website" AND "Add phone" prompts - zero web presence. Residential address (4426 221st Pl NE). CAVEAT: single no-text 1-star rating - verify operating status + reputation by phone.</t>
        </is>
      </c>
      <c r="L126" s="32" t="inlineStr">
        <is>
          <t>L&amp;I Goldmine triage</t>
        </is>
      </c>
      <c r="M126" s="32" t="inlineStr">
        <is>
          <t>2026-07-02</t>
        </is>
      </c>
      <c r="N126" s="32" t="n"/>
      <c r="O126" s="32" t="n"/>
      <c r="P126" s="32" t="n"/>
    </row>
    <row r="127" ht="58" customHeight="1" s="21">
      <c r="A127" s="32" t="inlineStr">
        <is>
          <t>Spanaway</t>
        </is>
      </c>
      <c r="B127" s="32" t="inlineStr">
        <is>
          <t>Ronald D Hinze Enterprises Inc</t>
        </is>
      </c>
      <c r="C127" s="32" t="inlineStr">
        <is>
          <t>(253) 847-9095</t>
        </is>
      </c>
      <c r="D127" s="32" t="inlineStr">
        <is>
          <t>No</t>
        </is>
      </c>
      <c r="E127" s="32" t="inlineStr">
        <is>
          <t>N/A</t>
        </is>
      </c>
      <c r="F127" s="32" t="inlineStr">
        <is>
          <t>N/A</t>
        </is>
      </c>
      <c r="G127" s="32" t="n"/>
      <c r="H127" s="32" t="inlineStr">
        <is>
          <t>0</t>
        </is>
      </c>
      <c r="I127" s="33" t="inlineStr">
        <is>
          <t>Hot</t>
        </is>
      </c>
      <c r="J127" s="32" t="inlineStr">
        <is>
          <t>Ronald D Hinze (L&amp;I principal)</t>
        </is>
      </c>
      <c r="K127" s="32" t="inlineStr">
        <is>
          <t>GOLDMINE (27.4-yr license, 1999). L&amp;I LONGEVITY PATH. ZERO GMB listing - deepest invisibility. Personal-name legal entity, may trade under a DBA - confirm operating status + trade name by phone.</t>
        </is>
      </c>
      <c r="L127" s="32" t="inlineStr">
        <is>
          <t>L&amp;I Goldmine triage</t>
        </is>
      </c>
      <c r="M127" s="32" t="inlineStr">
        <is>
          <t>2026-07-02</t>
        </is>
      </c>
      <c r="N127" s="32" t="n"/>
      <c r="O127" s="32" t="n"/>
      <c r="P127" s="32" t="n"/>
    </row>
    <row r="128" ht="72.5" customHeight="1" s="21">
      <c r="A128" s="32" t="inlineStr">
        <is>
          <t>Spokane Valley</t>
        </is>
      </c>
      <c r="B128" s="32" t="inlineStr">
        <is>
          <t>Keller Heating Inc</t>
        </is>
      </c>
      <c r="C128" s="32" t="inlineStr">
        <is>
          <t>(509) 926-3551</t>
        </is>
      </c>
      <c r="D128" s="32" t="inlineStr">
        <is>
          <t>No</t>
        </is>
      </c>
      <c r="E128" s="32" t="inlineStr">
        <is>
          <t>N/A</t>
        </is>
      </c>
      <c r="F128" s="32" t="inlineStr">
        <is>
          <t>N/A</t>
        </is>
      </c>
      <c r="G128" s="32" t="inlineStr">
        <is>
          <t>4.3</t>
        </is>
      </c>
      <c r="H128" s="32" t="inlineStr">
        <is>
          <t>6</t>
        </is>
      </c>
      <c r="I128" s="33" t="inlineStr">
        <is>
          <t>Hot</t>
        </is>
      </c>
      <c r="J128" s="32" t="inlineStr">
        <is>
          <t>Dennis Keller (L&amp;I principal)</t>
        </is>
      </c>
      <c r="K128" s="32" t="inlineStr">
        <is>
          <t>GOLDMINE (27.2-yr license, 1999). L&amp;I LONGEVITY PATH. Unclaimed GMB + "Add website" prompt - no website. Organic Local Guide reviews, has staff (tech Shawn). Address is Spokane Valley (11607 E Trent Ave) despite Spokane license city.</t>
        </is>
      </c>
      <c r="L128" s="32" t="inlineStr">
        <is>
          <t>L&amp;I Goldmine triage</t>
        </is>
      </c>
      <c r="M128" s="32" t="inlineStr">
        <is>
          <t>2026-07-02</t>
        </is>
      </c>
      <c r="N128" s="32" t="n"/>
      <c r="O128" s="32" t="n"/>
      <c r="P128" s="32" t="n"/>
    </row>
    <row r="129" ht="72.5" customHeight="1" s="21">
      <c r="A129" s="32" t="inlineStr">
        <is>
          <t>Monroe</t>
        </is>
      </c>
      <c r="B129" s="32" t="inlineStr">
        <is>
          <t>Z-Man Services (Z-Man Heating A/C Plmbg)</t>
        </is>
      </c>
      <c r="C129" s="32" t="inlineStr">
        <is>
          <t>(360) 794-6594 (L&amp;I)</t>
        </is>
      </c>
      <c r="D129" s="32" t="inlineStr">
        <is>
          <t>No</t>
        </is>
      </c>
      <c r="E129" s="32" t="inlineStr">
        <is>
          <t>N/A</t>
        </is>
      </c>
      <c r="F129" s="32" t="inlineStr">
        <is>
          <t>N/A</t>
        </is>
      </c>
      <c r="G129" s="32" t="inlineStr">
        <is>
          <t>4.0</t>
        </is>
      </c>
      <c r="H129" s="32" t="inlineStr">
        <is>
          <t>2</t>
        </is>
      </c>
      <c r="I129" s="33" t="inlineStr">
        <is>
          <t>Hot</t>
        </is>
      </c>
      <c r="J129" s="32" t="inlineStr">
        <is>
          <t>John C Zielsdorf (L&amp;I principal)</t>
        </is>
      </c>
      <c r="K129" s="32" t="inlineStr">
        <is>
          <t>GOLDMINE (26.5-yr license, 1999). L&amp;I LONGEVITY PATH. GMB unclaimed-style: "Add phone"/"Add website" prompts, 2 stale reviews, Maps shows "This place may be closed" - BUT license still active. CAVEAT: confirm operating status by phone before pitching.</t>
        </is>
      </c>
      <c r="L129" s="32" t="inlineStr">
        <is>
          <t>L&amp;I Goldmine triage</t>
        </is>
      </c>
      <c r="M129" s="32" t="inlineStr">
        <is>
          <t>2026-07-02</t>
        </is>
      </c>
      <c r="N129" s="32" t="n"/>
      <c r="O129" s="32" t="n"/>
      <c r="P129" s="32" t="n"/>
    </row>
    <row r="130" ht="58" customHeight="1" s="21">
      <c r="A130" s="32" t="inlineStr">
        <is>
          <t>Mill Creek</t>
        </is>
      </c>
      <c r="B130" s="32" t="inlineStr">
        <is>
          <t>Absolute Gas Services</t>
        </is>
      </c>
      <c r="C130" s="32" t="inlineStr">
        <is>
          <t>(425) 743-3747 (L&amp;I)</t>
        </is>
      </c>
      <c r="D130" s="32" t="inlineStr">
        <is>
          <t>No</t>
        </is>
      </c>
      <c r="E130" s="32" t="inlineStr">
        <is>
          <t>N/A</t>
        </is>
      </c>
      <c r="F130" s="32" t="inlineStr">
        <is>
          <t>N/A</t>
        </is>
      </c>
      <c r="G130" s="32" t="n"/>
      <c r="H130" s="32" t="inlineStr">
        <is>
          <t>0</t>
        </is>
      </c>
      <c r="I130" s="33" t="inlineStr">
        <is>
          <t>Hot</t>
        </is>
      </c>
      <c r="J130" s="32" t="inlineStr">
        <is>
          <t>Jeffrey Lewis Greinke (L&amp;I principal)</t>
        </is>
      </c>
      <c r="K130" s="32" t="inlineStr">
        <is>
          <t>GOLDMINE (26.4-yr license, 2000). L&amp;I LONGEVITY PATH. ZERO GMB listing - deepest invisibility (search returns only unrelated "Absolute" businesses). Verify operating status by phone.</t>
        </is>
      </c>
      <c r="L130" s="32" t="inlineStr">
        <is>
          <t>L&amp;I Goldmine triage</t>
        </is>
      </c>
      <c r="M130" s="32" t="inlineStr">
        <is>
          <t>2026-07-02</t>
        </is>
      </c>
      <c r="N130" s="32" t="n"/>
      <c r="O130" s="32" t="n"/>
      <c r="P130" s="32" t="n"/>
    </row>
    <row r="131" ht="72.5" customHeight="1" s="21">
      <c r="A131" s="32" t="inlineStr">
        <is>
          <t>Wenatchee</t>
        </is>
      </c>
      <c r="B131" s="32" t="inlineStr">
        <is>
          <t>Wells and Wade Mechanical</t>
        </is>
      </c>
      <c r="C131" s="32" t="inlineStr">
        <is>
          <t>(509) 662-3412</t>
        </is>
      </c>
      <c r="D131" s="32" t="inlineStr">
        <is>
          <t>Yes</t>
        </is>
      </c>
      <c r="E131" s="32" t="inlineStr">
        <is>
          <t>heatandairconditionwenatchee.com</t>
        </is>
      </c>
      <c r="F131" s="32" t="inlineStr">
        <is>
          <t>Not assessed</t>
        </is>
      </c>
      <c r="G131" s="32" t="inlineStr">
        <is>
          <t>3.0</t>
        </is>
      </c>
      <c r="H131" s="32" t="inlineStr">
        <is>
          <t>2</t>
        </is>
      </c>
      <c r="I131" s="44" t="inlineStr">
        <is>
          <t>Watch</t>
        </is>
      </c>
      <c r="J131" s="32" t="inlineStr">
        <is>
          <t>Donald W Baker (L&amp;I principal)</t>
        </is>
      </c>
      <c r="K131" s="32" t="inlineStr">
        <is>
          <t>GOLDMINE (26.4-yr license, 2000). 26-yr shop with only 2 rating-only reviews + site on keyword-stuffed SEO domain - weak-web-presence old-timer. MANUAL SITE CHECK queue: if site is template junk, upgrade to Warm (longevity path covers review bar; 3.0 rating is n=2 noise).</t>
        </is>
      </c>
      <c r="L131" s="32" t="inlineStr">
        <is>
          <t>L&amp;I Goldmine triage</t>
        </is>
      </c>
      <c r="M131" s="32" t="inlineStr">
        <is>
          <t>2026-07-02</t>
        </is>
      </c>
      <c r="N131" s="32" t="n"/>
      <c r="O131" s="32" t="n"/>
      <c r="P131" s="32" t="n"/>
    </row>
    <row r="132" ht="72.5" customHeight="1" s="21">
      <c r="A132" s="32" t="inlineStr">
        <is>
          <t>Kenmore</t>
        </is>
      </c>
      <c r="B132" s="32" t="inlineStr">
        <is>
          <t>G B Systems</t>
        </is>
      </c>
      <c r="C132" s="32" t="inlineStr">
        <is>
          <t>(425) 482-0584 (L&amp;I)</t>
        </is>
      </c>
      <c r="D132" s="32" t="inlineStr">
        <is>
          <t>No</t>
        </is>
      </c>
      <c r="E132" s="32" t="inlineStr">
        <is>
          <t>N/A</t>
        </is>
      </c>
      <c r="F132" s="32" t="inlineStr">
        <is>
          <t>N/A</t>
        </is>
      </c>
      <c r="G132" s="32" t="inlineStr">
        <is>
          <t>5.0</t>
        </is>
      </c>
      <c r="H132" s="32" t="inlineStr">
        <is>
          <t>6</t>
        </is>
      </c>
      <c r="I132" s="33" t="inlineStr">
        <is>
          <t>Hot</t>
        </is>
      </c>
      <c r="J132" s="32" t="inlineStr">
        <is>
          <t>Greg Berg (L&amp;I principal)</t>
        </is>
      </c>
      <c r="K132" s="32" t="inlineStr">
        <is>
          <t>GOLDMINE (26.4-yr license, 2000). L&amp;I LONGEVITY PATH. GMB has "Add phone"/"Add website" prompts - zero web presence. Real staff (office: Jackie, tech: Matt), organic reviews. CAVEAT: commercial/multi-family lean in reviews - confirm residential mix on call.</t>
        </is>
      </c>
      <c r="L132" s="32" t="inlineStr">
        <is>
          <t>L&amp;I Goldmine triage</t>
        </is>
      </c>
      <c r="M132" s="32" t="inlineStr">
        <is>
          <t>2026-07-02</t>
        </is>
      </c>
      <c r="N132" s="32" t="n"/>
      <c r="O132" s="32" t="n"/>
      <c r="P132" s="32" t="n"/>
    </row>
    <row r="133" ht="58" customHeight="1" s="21">
      <c r="A133" s="32" t="inlineStr">
        <is>
          <t>Kennewick</t>
        </is>
      </c>
      <c r="B133" s="32" t="inlineStr">
        <is>
          <t>Coffey Refrigeration</t>
        </is>
      </c>
      <c r="C133" s="32" t="inlineStr">
        <is>
          <t>(509) 586-1519</t>
        </is>
      </c>
      <c r="D133" s="32" t="inlineStr">
        <is>
          <t>Yes</t>
        </is>
      </c>
      <c r="E133" s="32" t="inlineStr">
        <is>
          <t>coffeyref.com</t>
        </is>
      </c>
      <c r="F133" s="32" t="inlineStr">
        <is>
          <t>Not assessed</t>
        </is>
      </c>
      <c r="G133" s="32" t="inlineStr">
        <is>
          <t>4.7</t>
        </is>
      </c>
      <c r="H133" s="32" t="inlineStr">
        <is>
          <t>13</t>
        </is>
      </c>
      <c r="I133" s="44" t="inlineStr">
        <is>
          <t>Watch</t>
        </is>
      </c>
      <c r="J133" s="32" t="inlineStr">
        <is>
          <t>Christian J Search (L&amp;I principal)</t>
        </is>
      </c>
      <c r="K133" s="32" t="inlineStr">
        <is>
          <t>GOLDMINE (26.4-yr license, 2000). Under 25-review bar (13), commercial refrigeration lean (backflow testing, commercial equipment). Site unverified - MANUAL SITE CHECK. Recheck as reviews grow.</t>
        </is>
      </c>
      <c r="L133" s="32" t="inlineStr">
        <is>
          <t>L&amp;I Goldmine triage</t>
        </is>
      </c>
      <c r="M133" s="32" t="inlineStr">
        <is>
          <t>2026-07-02</t>
        </is>
      </c>
      <c r="N133" s="32" t="n"/>
      <c r="O133" s="32" t="n"/>
      <c r="P133" s="32" t="n"/>
    </row>
    <row r="134" ht="58" customHeight="1" s="21">
      <c r="A134" s="32" t="inlineStr">
        <is>
          <t>Auburn</t>
        </is>
      </c>
      <c r="B134" s="32" t="inlineStr">
        <is>
          <t>City Sheet Metal</t>
        </is>
      </c>
      <c r="C134" s="32" t="inlineStr">
        <is>
          <t>(253) 852-2174 (L&amp;I)</t>
        </is>
      </c>
      <c r="D134" s="32" t="inlineStr">
        <is>
          <t>No</t>
        </is>
      </c>
      <c r="E134" s="32" t="inlineStr">
        <is>
          <t>N/A</t>
        </is>
      </c>
      <c r="F134" s="32" t="inlineStr">
        <is>
          <t>N/A</t>
        </is>
      </c>
      <c r="G134" s="32" t="n"/>
      <c r="H134" s="32" t="inlineStr">
        <is>
          <t>0</t>
        </is>
      </c>
      <c r="I134" s="33" t="inlineStr">
        <is>
          <t>Hot</t>
        </is>
      </c>
      <c r="J134" s="32" t="inlineStr">
        <is>
          <t>Patti Cunningham (L&amp;I principal)</t>
        </is>
      </c>
      <c r="K134" s="32" t="inlineStr">
        <is>
          <t>GOLDMINE (26.4-yr license, 2000). L&amp;I LONGEVITY PATH. ZERO GMB listing. CAVEAT: name suggests possible fabrication shop - confirm they do consumer HVAC (license is SM heating/vent) on the call before pitching.</t>
        </is>
      </c>
      <c r="L134" s="32" t="inlineStr">
        <is>
          <t>L&amp;I Goldmine triage</t>
        </is>
      </c>
      <c r="M134" s="32" t="inlineStr">
        <is>
          <t>2026-07-02</t>
        </is>
      </c>
      <c r="N134" s="32" t="n"/>
      <c r="O134" s="32" t="n"/>
      <c r="P134" s="32" t="n"/>
    </row>
    <row r="135" ht="87" customHeight="1" s="21">
      <c r="A135" s="32" t="inlineStr">
        <is>
          <t>Brush Prairie</t>
        </is>
      </c>
      <c r="B135" s="32" t="inlineStr">
        <is>
          <t>Accent Heating &amp; Cooling LLC</t>
        </is>
      </c>
      <c r="C135" s="32" t="inlineStr">
        <is>
          <t>(360) 885-1940</t>
        </is>
      </c>
      <c r="D135" s="32" t="inlineStr">
        <is>
          <t>Yes</t>
        </is>
      </c>
      <c r="E135" s="32" t="inlineStr">
        <is>
          <t>accentheat.com</t>
        </is>
      </c>
      <c r="F135" s="32" t="inlineStr">
        <is>
          <t>Poor - dated</t>
        </is>
      </c>
      <c r="G135" s="32" t="inlineStr">
        <is>
          <t>4.0</t>
        </is>
      </c>
      <c r="H135" s="32" t="inlineStr">
        <is>
          <t>35</t>
        </is>
      </c>
      <c r="I135" s="34" t="inlineStr">
        <is>
          <t>Warm</t>
        </is>
      </c>
      <c r="J135" s="32" t="inlineStr">
        <is>
          <t>Tracy A Hufnagel (L&amp;I principal)</t>
        </is>
      </c>
      <c r="K135" s="32" t="inlineStr">
        <is>
          <t>GOLDMINE GEO-T1 (26-yr license, 2000). FIRST GOLDMINE WARM. Site verified by screenshot: mid-2000s design - gradient/beveled buttons, embossed text, stock Carrier hero, clip-art gear icons (3+ checklist flags). Meets 4.0/25 bar exactly (4.0/35). Home-warranty (AHS) work stream.</t>
        </is>
      </c>
      <c r="L135" s="32" t="inlineStr">
        <is>
          <t>L&amp;I Goldmine triage</t>
        </is>
      </c>
      <c r="M135" s="32" t="inlineStr">
        <is>
          <t>2026-07-02</t>
        </is>
      </c>
      <c r="N135" s="32" t="n"/>
      <c r="O135" s="32" t="n"/>
      <c r="P135" s="32" t="n"/>
    </row>
    <row r="136" ht="72.5" customHeight="1" s="21">
      <c r="A136" s="32" t="inlineStr">
        <is>
          <t>Eastsound (Orcas Island)</t>
        </is>
      </c>
      <c r="B136" s="32" t="inlineStr">
        <is>
          <t>Morris Plumbing &amp; Heating</t>
        </is>
      </c>
      <c r="C136" s="32" t="inlineStr">
        <is>
          <t>(360) 376-4999</t>
        </is>
      </c>
      <c r="D136" s="32" t="inlineStr">
        <is>
          <t>No</t>
        </is>
      </c>
      <c r="E136" s="32" t="inlineStr">
        <is>
          <t>N/A</t>
        </is>
      </c>
      <c r="F136" s="32" t="inlineStr">
        <is>
          <t>N/A</t>
        </is>
      </c>
      <c r="G136" s="32" t="inlineStr">
        <is>
          <t>4.6</t>
        </is>
      </c>
      <c r="H136" s="32" t="inlineStr">
        <is>
          <t>9</t>
        </is>
      </c>
      <c r="I136" s="33" t="inlineStr">
        <is>
          <t>Hot</t>
        </is>
      </c>
      <c r="J136" s="32" t="inlineStr">
        <is>
          <t>Jeff Morris (L&amp;I principal)</t>
        </is>
      </c>
      <c r="K136" s="32" t="inlineStr">
        <is>
          <t>GOLDMINE GEO-T1 (26-yr license, 2000). L&amp;I LONGEVITY PATH. Unclaimed GMB + "Add website" prompt. Ferry-isolated market, scarce competition (per reviews: hard to get plumber on Orcas). CAVEAT: plumbing-primary review mix - confirm HVAC share on call.</t>
        </is>
      </c>
      <c r="L136" s="32" t="inlineStr">
        <is>
          <t>L&amp;I Goldmine triage</t>
        </is>
      </c>
      <c r="M136" s="32" t="inlineStr">
        <is>
          <t>2026-07-02</t>
        </is>
      </c>
      <c r="N136" s="32" t="n"/>
      <c r="O136" s="32" t="n"/>
      <c r="P136" s="32" t="n"/>
    </row>
    <row r="137" ht="87" customHeight="1" s="21">
      <c r="A137" s="32" t="inlineStr">
        <is>
          <t>Dryden</t>
        </is>
      </c>
      <c r="B137" s="32" t="inlineStr">
        <is>
          <t>Action Plumbing Heating &amp; Air Conditioning</t>
        </is>
      </c>
      <c r="C137" s="32" t="inlineStr">
        <is>
          <t>(509) 548-4458</t>
        </is>
      </c>
      <c r="D137" s="32" t="inlineStr">
        <is>
          <t>Yes</t>
        </is>
      </c>
      <c r="E137" s="32" t="inlineStr">
        <is>
          <t>actionphac.com</t>
        </is>
      </c>
      <c r="F137" s="32" t="inlineStr">
        <is>
          <t>Not assessed</t>
        </is>
      </c>
      <c r="G137" s="32" t="inlineStr">
        <is>
          <t>5.0</t>
        </is>
      </c>
      <c r="H137" s="32" t="inlineStr">
        <is>
          <t>12</t>
        </is>
      </c>
      <c r="I137" s="44" t="inlineStr">
        <is>
          <t>Watch</t>
        </is>
      </c>
      <c r="J137" s="32" t="inlineStr">
        <is>
          <t>Mark K Acton (L&amp;I principal)</t>
        </is>
      </c>
      <c r="K137" s="32" t="inlineStr">
        <is>
          <t>GOLDMINE GEO-T1 (26-yr license, 2000). 5.0/12 - under 15-review small-town bar. Plumber-primary category but real HVAC/furnace work in reviews. Decade-loyal customers. Site unverified - MANUAL SITE CHECK. Recheck as reviews grow. (Distinct from Action Heating Carnation / actionhac.com.)</t>
        </is>
      </c>
      <c r="L137" s="32" t="inlineStr">
        <is>
          <t>L&amp;I Goldmine triage</t>
        </is>
      </c>
      <c r="M137" s="32" t="inlineStr">
        <is>
          <t>2026-07-02</t>
        </is>
      </c>
      <c r="N137" s="32" t="n"/>
      <c r="O137" s="32" t="n"/>
      <c r="P137" s="32" t="n"/>
    </row>
    <row r="138" ht="101.5" customHeight="1" s="21">
      <c r="A138" s="32" t="inlineStr">
        <is>
          <t>Kelso</t>
        </is>
      </c>
      <c r="B138" s="32" t="inlineStr">
        <is>
          <t>Twin City Service Co</t>
        </is>
      </c>
      <c r="C138" s="32" t="inlineStr">
        <is>
          <t>(360) 425-3320</t>
        </is>
      </c>
      <c r="D138" s="32" t="inlineStr">
        <is>
          <t>Yes</t>
        </is>
      </c>
      <c r="E138" s="32" t="inlineStr">
        <is>
          <t>twincityserviceco.com</t>
        </is>
      </c>
      <c r="F138" s="32" t="inlineStr">
        <is>
          <t>Poor - dated/broken</t>
        </is>
      </c>
      <c r="G138" s="32" t="inlineStr">
        <is>
          <t>4.9</t>
        </is>
      </c>
      <c r="H138" s="32" t="inlineStr">
        <is>
          <t>74</t>
        </is>
      </c>
      <c r="I138" s="34" t="inlineStr">
        <is>
          <t>Warm</t>
        </is>
      </c>
      <c r="J138" s="32" t="inlineStr">
        <is>
          <t>Joel Leininger (L&amp;I principal)</t>
        </is>
      </c>
      <c r="K138" s="32" t="inlineStr">
        <is>
          <t>GOLDMINE GEO-T1 (26-yr license, 2000). Site verified by screenshot: HUGE blank/broken hero block, embossed drop-shadow logo, glossy beveled 3D FINANCING/SERVICE/ESTIMATE buttons - mid-2000s design + broken layout (3 checklist flags). 4.9/74 = excellent reputation, terrible site: prime Warm. GMB also missing hours. Techs: Ken, Alex.</t>
        </is>
      </c>
      <c r="L138" s="32" t="inlineStr">
        <is>
          <t>L&amp;I Goldmine triage</t>
        </is>
      </c>
      <c r="M138" s="32" t="inlineStr">
        <is>
          <t>2026-07-02</t>
        </is>
      </c>
      <c r="N138" s="32" t="n"/>
      <c r="O138" s="32" t="n"/>
      <c r="P138" s="32" t="n"/>
    </row>
    <row r="139" ht="58" customHeight="1" s="21">
      <c r="A139" s="32" t="inlineStr">
        <is>
          <t>Omak</t>
        </is>
      </c>
      <c r="B139" s="32" t="inlineStr">
        <is>
          <t>Freel's Refrigeration &amp; Heating</t>
        </is>
      </c>
      <c r="C139" s="32" t="inlineStr">
        <is>
          <t>(509) 826-5492</t>
        </is>
      </c>
      <c r="D139" s="32" t="inlineStr">
        <is>
          <t>No</t>
        </is>
      </c>
      <c r="E139" s="32" t="inlineStr">
        <is>
          <t>N/A</t>
        </is>
      </c>
      <c r="F139" s="32" t="inlineStr">
        <is>
          <t>N/A</t>
        </is>
      </c>
      <c r="G139" s="32" t="inlineStr">
        <is>
          <t>4.8</t>
        </is>
      </c>
      <c r="H139" s="32" t="inlineStr">
        <is>
          <t>4</t>
        </is>
      </c>
      <c r="I139" s="33" t="inlineStr">
        <is>
          <t>Hot</t>
        </is>
      </c>
      <c r="J139" s="32" t="inlineStr">
        <is>
          <t>Jeffrey Klimek (L&amp;I principal)</t>
        </is>
      </c>
      <c r="K139" s="32" t="inlineStr">
        <is>
          <t>GOLDMINE GEO-T1 (25.3-yr license, 2001). L&amp;I LONGEVITY PATH. "Add website" prompt - no website. Owner Jeff, tech Brad, organic reviews praising responsiveness. Isolated Okanogan County market (Omak ~4,800 pop).</t>
        </is>
      </c>
      <c r="L139" s="32" t="inlineStr">
        <is>
          <t>L&amp;I Goldmine triage</t>
        </is>
      </c>
      <c r="M139" s="32" t="inlineStr">
        <is>
          <t>2026-07-02</t>
        </is>
      </c>
      <c r="N139" s="32" t="n"/>
      <c r="O139" s="32" t="n"/>
      <c r="P139" s="32" t="n"/>
    </row>
    <row r="140" ht="72.5" customHeight="1" s="21">
      <c r="A140" s="32" t="inlineStr">
        <is>
          <t>Burlington</t>
        </is>
      </c>
      <c r="B140" s="32" t="inlineStr">
        <is>
          <t>D.K. Systems Inc</t>
        </is>
      </c>
      <c r="C140" s="32" t="inlineStr">
        <is>
          <t>(360) 755-1555</t>
        </is>
      </c>
      <c r="D140" s="32" t="inlineStr">
        <is>
          <t>Yes</t>
        </is>
      </c>
      <c r="E140" s="32" t="inlineStr">
        <is>
          <t>dksystemsinc.com</t>
        </is>
      </c>
      <c r="F140" s="32" t="inlineStr">
        <is>
          <t>OK - basic</t>
        </is>
      </c>
      <c r="G140" s="32" t="inlineStr">
        <is>
          <t>4.7</t>
        </is>
      </c>
      <c r="H140" s="32" t="inlineStr">
        <is>
          <t>12</t>
        </is>
      </c>
      <c r="I140" s="44" t="inlineStr">
        <is>
          <t>Watch</t>
        </is>
      </c>
      <c r="J140" s="32" t="inlineStr">
        <is>
          <t>Darron E Drake (L&amp;I principal)</t>
        </is>
      </c>
      <c r="K140" s="32" t="inlineStr">
        <is>
          <t>GOLDMINE GEO-T1 (23.9-yr license, 2002). Under 25-review bar (12). Site verified by screenshot: basic template but functional, real photos of own vans - not Warm material. Staff: Doug, Jason, Ian, Paul. Recheck as reviews grow.</t>
        </is>
      </c>
      <c r="L140" s="32" t="inlineStr">
        <is>
          <t>L&amp;I Goldmine triage</t>
        </is>
      </c>
      <c r="M140" s="32" t="inlineStr">
        <is>
          <t>2026-07-02</t>
        </is>
      </c>
      <c r="N140" s="32" t="n"/>
      <c r="O140" s="32" t="n"/>
      <c r="P140" s="32" t="n"/>
    </row>
    <row r="141" ht="87" customHeight="1" s="21">
      <c r="A141" s="32" t="inlineStr">
        <is>
          <t>Coulee City</t>
        </is>
      </c>
      <c r="B141" s="32" t="inlineStr">
        <is>
          <t>Compass Mechanical LLC</t>
        </is>
      </c>
      <c r="C141" s="32" t="inlineStr">
        <is>
          <t>(425) 508-9375</t>
        </is>
      </c>
      <c r="D141" s="32" t="inlineStr">
        <is>
          <t>No</t>
        </is>
      </c>
      <c r="E141" s="32" t="inlineStr">
        <is>
          <t>N/A</t>
        </is>
      </c>
      <c r="F141" s="32" t="inlineStr">
        <is>
          <t>N/A</t>
        </is>
      </c>
      <c r="G141" s="32" t="inlineStr">
        <is>
          <t>5.0</t>
        </is>
      </c>
      <c r="H141" s="32" t="inlineStr">
        <is>
          <t>2</t>
        </is>
      </c>
      <c r="I141" s="33" t="inlineStr">
        <is>
          <t>Hot</t>
        </is>
      </c>
      <c r="J141" s="32" t="inlineStr">
        <is>
          <t>Greg Allen Griffith (L&amp;I principal)</t>
        </is>
      </c>
      <c r="K141" s="32" t="inlineStr">
        <is>
          <t>GOLDMINE GEO-T1 (23.9-yr license, 2002). L&amp;I LONGEVITY PATH. "Add website" prompt - no website. Owner-operated, prompt per reviews (both 5 yrs old). Tiny isolated Grant County town (~560 pop). CAVEAT: 425 phone area code + stale reviews - verify operating status/location by phone.</t>
        </is>
      </c>
      <c r="L141" s="32" t="inlineStr">
        <is>
          <t>L&amp;I Goldmine triage</t>
        </is>
      </c>
      <c r="M141" s="32" t="inlineStr">
        <is>
          <t>2026-07-02</t>
        </is>
      </c>
      <c r="N141" s="32" t="n"/>
      <c r="O141" s="32" t="n"/>
      <c r="P141" s="32" t="n"/>
    </row>
    <row r="142" ht="58" customHeight="1" s="21">
      <c r="A142" s="32" t="inlineStr">
        <is>
          <t>Union Gap</t>
        </is>
      </c>
      <c r="B142" s="32" t="inlineStr">
        <is>
          <t>T &amp; M Heating &amp; Refrig Inc</t>
        </is>
      </c>
      <c r="C142" s="32" t="inlineStr">
        <is>
          <t>5095751088 (L&amp;I)</t>
        </is>
      </c>
      <c r="D142" s="32" t="inlineStr">
        <is>
          <t>No</t>
        </is>
      </c>
      <c r="E142" s="32" t="inlineStr">
        <is>
          <t>N/A</t>
        </is>
      </c>
      <c r="F142" s="32" t="inlineStr">
        <is>
          <t>N/A</t>
        </is>
      </c>
      <c r="G142" s="32" t="n"/>
      <c r="H142" s="32" t="inlineStr">
        <is>
          <t>0</t>
        </is>
      </c>
      <c r="I142" s="33" t="inlineStr">
        <is>
          <t>Hot</t>
        </is>
      </c>
      <c r="J142" s="32" t="inlineStr">
        <is>
          <t>Albert M Laws (L&amp;I principal)</t>
        </is>
      </c>
      <c r="K142" s="32" t="inlineStr">
        <is>
          <t>GOLDMINE GEO-T1 (~24-yr license). L&amp;I LONGEVITY PATH. ZERO GMB - Maps returns only other Yakima-area businesses. Verify operating status by phone (number on L&amp;I record / Goldmine tab).</t>
        </is>
      </c>
      <c r="L142" s="32" t="inlineStr">
        <is>
          <t>L&amp;I Goldmine triage</t>
        </is>
      </c>
      <c r="M142" s="32" t="inlineStr">
        <is>
          <t>2026-07-02</t>
        </is>
      </c>
      <c r="N142" s="32" t="n"/>
      <c r="O142" s="32" t="n"/>
      <c r="P142" s="32" t="n"/>
    </row>
    <row r="143" ht="58" customHeight="1" s="21">
      <c r="A143" s="32" t="inlineStr">
        <is>
          <t>Oakville</t>
        </is>
      </c>
      <c r="B143" s="32" t="inlineStr">
        <is>
          <t>Tradesman's Mechanical Service</t>
        </is>
      </c>
      <c r="C143" s="32" t="inlineStr">
        <is>
          <t>3602809270 (L&amp;I)</t>
        </is>
      </c>
      <c r="D143" s="32" t="inlineStr">
        <is>
          <t>No</t>
        </is>
      </c>
      <c r="E143" s="32" t="inlineStr">
        <is>
          <t>N/A</t>
        </is>
      </c>
      <c r="F143" s="32" t="inlineStr">
        <is>
          <t>N/A</t>
        </is>
      </c>
      <c r="G143" s="32" t="n"/>
      <c r="H143" s="32" t="inlineStr">
        <is>
          <t>0</t>
        </is>
      </c>
      <c r="I143" s="33" t="inlineStr">
        <is>
          <t>Hot</t>
        </is>
      </c>
      <c r="J143" s="32" t="inlineStr">
        <is>
          <t>John C Petty (L&amp;I principal)</t>
        </is>
      </c>
      <c r="K143" s="32" t="inlineStr">
        <is>
          <t>GOLDMINE GEO-T1 (~24-yr license). L&amp;I LONGEVITY PATH. ZERO GMB (Maps falls through to a Winnipeg company). Oakville = Grays Harbor County, the project's best-performing region profile. Verify by phone.</t>
        </is>
      </c>
      <c r="L143" s="32" t="inlineStr">
        <is>
          <t>L&amp;I Goldmine triage</t>
        </is>
      </c>
      <c r="M143" s="32" t="inlineStr">
        <is>
          <t>2026-07-02</t>
        </is>
      </c>
      <c r="N143" s="32" t="n"/>
      <c r="O143" s="32" t="n"/>
      <c r="P143" s="32" t="n"/>
    </row>
    <row r="144" ht="72.5" customHeight="1" s="21">
      <c r="A144" s="32" t="inlineStr">
        <is>
          <t>Oroville</t>
        </is>
      </c>
      <c r="B144" s="32" t="inlineStr">
        <is>
          <t>Thermal Air LLC</t>
        </is>
      </c>
      <c r="C144" s="32" t="inlineStr">
        <is>
          <t>(509) 476-3145</t>
        </is>
      </c>
      <c r="D144" s="32" t="inlineStr">
        <is>
          <t>No</t>
        </is>
      </c>
      <c r="E144" s="32" t="inlineStr">
        <is>
          <t>N/A</t>
        </is>
      </c>
      <c r="F144" s="32" t="inlineStr">
        <is>
          <t>N/A</t>
        </is>
      </c>
      <c r="G144" s="32" t="n"/>
      <c r="H144" s="32" t="inlineStr">
        <is>
          <t>0</t>
        </is>
      </c>
      <c r="I144" s="33" t="inlineStr">
        <is>
          <t>Hot</t>
        </is>
      </c>
      <c r="J144" s="32" t="inlineStr">
        <is>
          <t>Philip Neal Barker (L&amp;I principal)</t>
        </is>
      </c>
      <c r="K144" s="32" t="inlineStr">
        <is>
          <t>GOLDMINE GEO-T1 (~23-yr license). L&amp;I LONGEVITY PATH. GMB exists but ZERO reviews + "Add website" prompt. Main St address + landline - classic hidden-old-timer profile (Step 21 positive: license active). Isolated Okanogan border town.</t>
        </is>
      </c>
      <c r="L144" s="32" t="inlineStr">
        <is>
          <t>L&amp;I Goldmine triage</t>
        </is>
      </c>
      <c r="M144" s="32" t="inlineStr">
        <is>
          <t>2026-07-02</t>
        </is>
      </c>
      <c r="N144" s="32" t="n"/>
      <c r="O144" s="32" t="n"/>
      <c r="P144" s="32" t="n"/>
    </row>
    <row r="145" ht="58" customHeight="1" s="21">
      <c r="A145" s="32" t="inlineStr">
        <is>
          <t>Ephrata</t>
        </is>
      </c>
      <c r="B145" s="32" t="inlineStr">
        <is>
          <t>Central Energy Products LLC</t>
        </is>
      </c>
      <c r="C145" s="32" t="inlineStr">
        <is>
          <t>5097602882 (L&amp;I)</t>
        </is>
      </c>
      <c r="D145" s="32" t="inlineStr">
        <is>
          <t>No</t>
        </is>
      </c>
      <c r="E145" s="32" t="inlineStr">
        <is>
          <t>N/A</t>
        </is>
      </c>
      <c r="F145" s="32" t="inlineStr">
        <is>
          <t>N/A</t>
        </is>
      </c>
      <c r="G145" s="32" t="n"/>
      <c r="H145" s="32" t="inlineStr">
        <is>
          <t>0</t>
        </is>
      </c>
      <c r="I145" s="33" t="inlineStr">
        <is>
          <t>Hot</t>
        </is>
      </c>
      <c r="J145" s="32" t="inlineStr">
        <is>
          <t>Jason C Smith (L&amp;I principal)</t>
        </is>
      </c>
      <c r="K145" s="32" t="inlineStr">
        <is>
          <t>GOLDMINE GEO-T1 (~23-yr license). L&amp;I LONGEVITY PATH. ZERO GMB - Ephrata search returns only unrelated businesses. CAVEAT: "Energy Products" name may indicate stove/fireplace dealer - confirm consumer HVAC on call.</t>
        </is>
      </c>
      <c r="L145" s="32" t="inlineStr">
        <is>
          <t>L&amp;I Goldmine triage</t>
        </is>
      </c>
      <c r="M145" s="32" t="inlineStr">
        <is>
          <t>2026-07-02</t>
        </is>
      </c>
      <c r="N145" s="32" t="n"/>
      <c r="O145" s="32" t="n"/>
      <c r="P145" s="32" t="n"/>
    </row>
    <row r="146" ht="58" customHeight="1" s="21">
      <c r="A146" s="32" t="inlineStr">
        <is>
          <t>North Bend</t>
        </is>
      </c>
      <c r="B146" s="32" t="inlineStr">
        <is>
          <t>Refresh LLC</t>
        </is>
      </c>
      <c r="C146" s="32" t="inlineStr">
        <is>
          <t>(425) 450-3222 (L&amp;I)</t>
        </is>
      </c>
      <c r="D146" s="32" t="inlineStr">
        <is>
          <t>No</t>
        </is>
      </c>
      <c r="E146" s="32" t="inlineStr">
        <is>
          <t>N/A</t>
        </is>
      </c>
      <c r="F146" s="32" t="inlineStr">
        <is>
          <t>N/A</t>
        </is>
      </c>
      <c r="G146" s="32" t="n"/>
      <c r="H146" s="32" t="inlineStr">
        <is>
          <t>0</t>
        </is>
      </c>
      <c r="I146" s="33" t="inlineStr">
        <is>
          <t>Hot</t>
        </is>
      </c>
      <c r="J146" s="32" t="inlineStr">
        <is>
          <t>Mary A Denboer (L&amp;I principal)</t>
        </is>
      </c>
      <c r="K146" s="32" t="inlineStr">
        <is>
          <t>GOLDMINE GEO-T1 (22.5-yr license, 2003). L&amp;I LONGEVITY PATH. ZERO GMB under this name. CAVEAT: generic name makes Maps matching uncertain - may trade under another name; verify by phone.</t>
        </is>
      </c>
      <c r="L146" s="32" t="inlineStr">
        <is>
          <t>L&amp;I Goldmine triage</t>
        </is>
      </c>
      <c r="M146" s="32" t="inlineStr">
        <is>
          <t>2026-07-02</t>
        </is>
      </c>
      <c r="N146" s="32" t="n"/>
      <c r="O146" s="32" t="n"/>
      <c r="P146" s="32" t="n"/>
    </row>
    <row r="147" ht="72.5" customHeight="1" s="21">
      <c r="A147" s="32" t="inlineStr">
        <is>
          <t>Lopez Island</t>
        </is>
      </c>
      <c r="B147" s="32" t="inlineStr">
        <is>
          <t>Lopez Heating Systems (dba/with Lopez Island Electric Co)</t>
        </is>
      </c>
      <c r="C147" s="32" t="inlineStr">
        <is>
          <t>(360) 468-2574</t>
        </is>
      </c>
      <c r="D147" s="32" t="inlineStr">
        <is>
          <t>No</t>
        </is>
      </c>
      <c r="E147" s="32" t="inlineStr">
        <is>
          <t>lopezislandelectric.com (electric side only)</t>
        </is>
      </c>
      <c r="F147" s="32" t="inlineStr">
        <is>
          <t>N/A</t>
        </is>
      </c>
      <c r="G147" s="32" t="n"/>
      <c r="H147" s="32" t="inlineStr">
        <is>
          <t>0</t>
        </is>
      </c>
      <c r="I147" s="33" t="inlineStr">
        <is>
          <t>Hot</t>
        </is>
      </c>
      <c r="J147" s="32" t="inlineStr">
        <is>
          <t>Jeffery R Hein (L&amp;I principal)</t>
        </is>
      </c>
      <c r="K147" s="32" t="inlineStr">
        <is>
          <t>GOLDMINE GEO-T1 (22.4-yr license, 2004). L&amp;I LONGEVITY PATH. Heating brand has ZERO GMB; phone matches unclaimed zero-review "Lopez Island Electric Co" listing - dual-trade ferry-isolated island operator. Verify HVAC service mix by phone.</t>
        </is>
      </c>
      <c r="L147" s="32" t="inlineStr">
        <is>
          <t>L&amp;I Goldmine triage</t>
        </is>
      </c>
      <c r="M147" s="32" t="inlineStr">
        <is>
          <t>2026-07-02</t>
        </is>
      </c>
      <c r="N147" s="32" t="n"/>
      <c r="O147" s="32" t="n"/>
      <c r="P147" s="32" t="n"/>
    </row>
    <row r="148" ht="72.5" customHeight="1" s="21">
      <c r="A148" s="32" t="inlineStr">
        <is>
          <t>Milton (Algona)</t>
        </is>
      </c>
      <c r="B148" s="32" t="inlineStr">
        <is>
          <t>GFR Heating &amp; Cooling LLC</t>
        </is>
      </c>
      <c r="C148" s="32" t="inlineStr">
        <is>
          <t>(206) 244-3996</t>
        </is>
      </c>
      <c r="D148" s="32" t="inlineStr">
        <is>
          <t>Yes</t>
        </is>
      </c>
      <c r="E148" s="32" t="inlineStr">
        <is>
          <t>gfrheat.com</t>
        </is>
      </c>
      <c r="F148" s="32" t="inlineStr">
        <is>
          <t>Not assessed</t>
        </is>
      </c>
      <c r="G148" s="32" t="inlineStr">
        <is>
          <t>5.0</t>
        </is>
      </c>
      <c r="H148" s="32" t="inlineStr">
        <is>
          <t>7</t>
        </is>
      </c>
      <c r="I148" s="44" t="inlineStr">
        <is>
          <t>Watch</t>
        </is>
      </c>
      <c r="J148" s="32" t="inlineStr">
        <is>
          <t>Corey Tolmich</t>
        </is>
      </c>
      <c r="K148" s="32" t="inlineStr">
        <is>
          <t>GOLDMINE GEO-T1 (21.4-yr license, 2005). Under 25-review bar (5.0/7). Owner Corey Tolmich named in review; techs Eric/Erik. Has DUPLICATE GMB listing (5.0/1) - same neglect signal as Loveridge/All In One. Site unverified - MANUAL SITE CHECK. Recheck as reviews grow.</t>
        </is>
      </c>
      <c r="L148" s="32" t="inlineStr">
        <is>
          <t>L&amp;I Goldmine triage</t>
        </is>
      </c>
      <c r="M148" s="32" t="inlineStr">
        <is>
          <t>2026-07-02</t>
        </is>
      </c>
      <c r="N148" s="32" t="n"/>
      <c r="O148" s="32" t="n"/>
      <c r="P148" s="32" t="n"/>
    </row>
    <row r="149" ht="58" customHeight="1" s="21">
      <c r="A149" s="32" t="inlineStr">
        <is>
          <t>Clinton</t>
        </is>
      </c>
      <c r="B149" s="32" t="inlineStr">
        <is>
          <t>Dunsmore Heating &amp; Gas Piping</t>
        </is>
      </c>
      <c r="C149" s="32" t="inlineStr">
        <is>
          <t>(360) 221-8567</t>
        </is>
      </c>
      <c r="D149" s="32" t="inlineStr">
        <is>
          <t>No</t>
        </is>
      </c>
      <c r="E149" s="32" t="inlineStr">
        <is>
          <t>N/A</t>
        </is>
      </c>
      <c r="F149" s="32" t="inlineStr">
        <is>
          <t>N/A</t>
        </is>
      </c>
      <c r="G149" s="32" t="n"/>
      <c r="H149" s="32" t="inlineStr">
        <is>
          <t>0</t>
        </is>
      </c>
      <c r="I149" s="33" t="inlineStr">
        <is>
          <t>Hot</t>
        </is>
      </c>
      <c r="J149" s="32" t="inlineStr">
        <is>
          <t>Lance Allen Dunsmore (L&amp;I principal)</t>
        </is>
      </c>
      <c r="K149" s="32" t="inlineStr">
        <is>
          <t>GOLDMINE GEO-T1 (20.3-yr license, 2006). L&amp;I LONGEVITY PATH. ZERO GMB - search returns only unrelated plumbers. South Whidbey ferry-island market (playbook: served only by Oak Harbor incumbents). Verify by phone.</t>
        </is>
      </c>
      <c r="L149" s="32" t="inlineStr">
        <is>
          <t>L&amp;I Goldmine triage</t>
        </is>
      </c>
      <c r="M149" s="32" t="inlineStr">
        <is>
          <t>2026-07-02</t>
        </is>
      </c>
      <c r="N149" s="32" t="n"/>
      <c r="O149" s="32" t="n"/>
      <c r="P149" s="32" t="n"/>
    </row>
    <row r="150" ht="87" customHeight="1" s="21">
      <c r="A150" s="32" t="inlineStr">
        <is>
          <t>McCleary</t>
        </is>
      </c>
      <c r="B150" s="32" t="inlineStr">
        <is>
          <t>Freedom Heating And AC LLC</t>
        </is>
      </c>
      <c r="C150" s="32" t="inlineStr">
        <is>
          <t>3604702888 (L&amp;I)</t>
        </is>
      </c>
      <c r="D150" s="32" t="inlineStr">
        <is>
          <t>No</t>
        </is>
      </c>
      <c r="E150" s="32" t="inlineStr">
        <is>
          <t>N/A</t>
        </is>
      </c>
      <c r="F150" s="32" t="inlineStr">
        <is>
          <t>N/A</t>
        </is>
      </c>
      <c r="G150" s="32" t="n"/>
      <c r="H150" s="32" t="inlineStr">
        <is>
          <t>0</t>
        </is>
      </c>
      <c r="I150" s="33" t="inlineStr">
        <is>
          <t>Hot</t>
        </is>
      </c>
      <c r="J150" s="32" t="inlineStr">
        <is>
          <t>Reece A Van Foeken (L&amp;I principal)</t>
        </is>
      </c>
      <c r="K150" s="32" t="inlineStr">
        <is>
          <t>GOLDMINE GEO-T1 (20-yr license, 2006). L&amp;I LONGEVITY PATH. ZERO GMB in WA - Maps returns only out-of-state namesakes. GRAYS HARBOR COUNTY (best-region profile). CAVEAT: generic name; verify identity + operating status by phone. (Not the fake "Reliable HVAC McCleary" - Step 20.)</t>
        </is>
      </c>
      <c r="L150" s="32" t="inlineStr">
        <is>
          <t>L&amp;I Goldmine triage</t>
        </is>
      </c>
      <c r="M150" s="32" t="inlineStr">
        <is>
          <t>2026-07-02</t>
        </is>
      </c>
      <c r="N150" s="32" t="n"/>
      <c r="O150" s="32" t="n"/>
      <c r="P150" s="32" t="n"/>
    </row>
    <row r="151" ht="43.5" customHeight="1" s="21">
      <c r="A151" s="32" t="inlineStr">
        <is>
          <t>Snoqualmie</t>
        </is>
      </c>
      <c r="B151" s="32" t="inlineStr">
        <is>
          <t>Kimball Mechanical</t>
        </is>
      </c>
      <c r="C151" s="32" t="inlineStr">
        <is>
          <t>4258644745 (L&amp;I)</t>
        </is>
      </c>
      <c r="D151" s="32" t="inlineStr">
        <is>
          <t>No</t>
        </is>
      </c>
      <c r="E151" s="32" t="inlineStr">
        <is>
          <t>N/A</t>
        </is>
      </c>
      <c r="F151" s="32" t="inlineStr">
        <is>
          <t>N/A</t>
        </is>
      </c>
      <c r="G151" s="32" t="n"/>
      <c r="H151" s="32" t="inlineStr">
        <is>
          <t>0</t>
        </is>
      </c>
      <c r="I151" s="33" t="inlineStr">
        <is>
          <t>Hot</t>
        </is>
      </c>
      <c r="J151" s="32" t="inlineStr">
        <is>
          <t>Thomas Kimball (L&amp;I principal)</t>
        </is>
      </c>
      <c r="K151" s="32" t="inlineStr">
        <is>
          <t>GOLDMINE GEO-T1 (~20-yr license). L&amp;I LONGEVITY PATH. ZERO GMB - Maps falls through to Noble Plumbing. Verify operating status + trade name by phone.</t>
        </is>
      </c>
      <c r="L151" s="32" t="inlineStr">
        <is>
          <t>L&amp;I Goldmine triage</t>
        </is>
      </c>
      <c r="M151" s="32" t="inlineStr">
        <is>
          <t>2026-07-02</t>
        </is>
      </c>
      <c r="N151" s="32" t="n"/>
      <c r="O151" s="32" t="n"/>
      <c r="P151" s="32" t="n"/>
    </row>
    <row r="152" ht="58" customHeight="1" s="21">
      <c r="A152" s="32" t="inlineStr">
        <is>
          <t>Veradale (Spokane Valley)</t>
        </is>
      </c>
      <c r="B152" s="32" t="inlineStr">
        <is>
          <t>Flameworks Inc</t>
        </is>
      </c>
      <c r="C152" s="32" t="inlineStr">
        <is>
          <t>(509) 710-0674</t>
        </is>
      </c>
      <c r="D152" s="32" t="inlineStr">
        <is>
          <t>No</t>
        </is>
      </c>
      <c r="E152" s="32" t="inlineStr">
        <is>
          <t>N/A</t>
        </is>
      </c>
      <c r="F152" s="32" t="inlineStr">
        <is>
          <t>N/A</t>
        </is>
      </c>
      <c r="G152" s="32" t="inlineStr">
        <is>
          <t>5.0</t>
        </is>
      </c>
      <c r="H152" s="32" t="inlineStr">
        <is>
          <t>2</t>
        </is>
      </c>
      <c r="I152" s="33" t="inlineStr">
        <is>
          <t>Hot</t>
        </is>
      </c>
      <c r="J152" s="32" t="n"/>
      <c r="K152" s="32" t="inlineStr">
        <is>
          <t>GOLDMINE GEO-T1 (~20-yr license). L&amp;I LONGEVITY PATH. Bare-bones GMB: phone only, no address, no website, 5.0/2. CAVEAT: name suggests gas fireplace specialty - confirm consumer HVAC mix on call.</t>
        </is>
      </c>
      <c r="L152" s="32" t="inlineStr">
        <is>
          <t>L&amp;I Goldmine triage</t>
        </is>
      </c>
      <c r="M152" s="32" t="inlineStr">
        <is>
          <t>2026-07-02</t>
        </is>
      </c>
      <c r="N152" s="32" t="n"/>
      <c r="O152" s="32" t="n"/>
      <c r="P152" s="32" t="n"/>
    </row>
    <row r="153" ht="43.5" customHeight="1" s="21">
      <c r="A153" s="32" t="inlineStr">
        <is>
          <t>Rosalia</t>
        </is>
      </c>
      <c r="B153" s="32" t="inlineStr">
        <is>
          <t>Shrode Heating &amp; Cooling Inc</t>
        </is>
      </c>
      <c r="C153" s="32" t="inlineStr">
        <is>
          <t>5095234838 (L&amp;I)</t>
        </is>
      </c>
      <c r="D153" s="32" t="inlineStr">
        <is>
          <t>No</t>
        </is>
      </c>
      <c r="E153" s="32" t="inlineStr">
        <is>
          <t>N/A</t>
        </is>
      </c>
      <c r="F153" s="32" t="inlineStr">
        <is>
          <t>N/A</t>
        </is>
      </c>
      <c r="G153" s="32" t="n"/>
      <c r="H153" s="32" t="inlineStr">
        <is>
          <t>0</t>
        </is>
      </c>
      <c r="I153" s="33" t="inlineStr">
        <is>
          <t>Hot</t>
        </is>
      </c>
      <c r="J153" s="32" t="n"/>
      <c r="K153" s="32" t="inlineStr">
        <is>
          <t>GOLDMINE GEO-T1 (~20-yr license). L&amp;I LONGEVITY PATH. ZERO GMB. Tiny Palouse farm town (~550 pop), Whitman County - deep-rural isolation profile. Verify by phone.</t>
        </is>
      </c>
      <c r="L153" s="32" t="inlineStr">
        <is>
          <t>L&amp;I Goldmine triage</t>
        </is>
      </c>
      <c r="M153" s="32" t="inlineStr">
        <is>
          <t>2026-07-02</t>
        </is>
      </c>
      <c r="N153" s="32" t="n"/>
      <c r="O153" s="32" t="n"/>
      <c r="P153" s="32" t="n"/>
    </row>
    <row r="154" ht="72.5" customHeight="1" s="21">
      <c r="A154" s="32" t="inlineStr">
        <is>
          <t>Tracyton (Bremerton)</t>
        </is>
      </c>
      <c r="B154" s="32" t="inlineStr">
        <is>
          <t>Economy Air Systems Inc</t>
        </is>
      </c>
      <c r="C154" s="32" t="inlineStr">
        <is>
          <t>(360) 698-6626</t>
        </is>
      </c>
      <c r="D154" s="32" t="inlineStr">
        <is>
          <t>Yes</t>
        </is>
      </c>
      <c r="E154" s="32" t="inlineStr">
        <is>
          <t>economyhtginc.com</t>
        </is>
      </c>
      <c r="F154" s="32" t="inlineStr">
        <is>
          <t>Not assessed</t>
        </is>
      </c>
      <c r="G154" s="32" t="inlineStr">
        <is>
          <t>5.0</t>
        </is>
      </c>
      <c r="H154" s="32" t="inlineStr">
        <is>
          <t>17</t>
        </is>
      </c>
      <c r="I154" s="44" t="inlineStr">
        <is>
          <t>Watch</t>
        </is>
      </c>
      <c r="J154" s="32" t="inlineStr">
        <is>
          <t>Brian Davison</t>
        </is>
      </c>
      <c r="K154" s="32" t="inlineStr">
        <is>
          <t>GOLDMINE GEO-T1 (~20-yr license). Under 25-review bar (5.0/17). Owner Brian Davison (25 yrs serving customers per review). Site unverified - MANUAL SITE CHECK. Kitsap = historically low-yield county. Recheck as reviews grow.</t>
        </is>
      </c>
      <c r="L154" s="32" t="inlineStr">
        <is>
          <t>L&amp;I Goldmine triage</t>
        </is>
      </c>
      <c r="M154" s="32" t="inlineStr">
        <is>
          <t>2026-07-02</t>
        </is>
      </c>
      <c r="N154" s="32" t="n"/>
      <c r="O154" s="32" t="n"/>
      <c r="P154" s="32" t="n"/>
    </row>
    <row r="155" ht="58" customHeight="1" s="21">
      <c r="A155" s="32" t="inlineStr">
        <is>
          <t>East Olympia</t>
        </is>
      </c>
      <c r="B155" s="32" t="inlineStr">
        <is>
          <t>Airtight Htg &amp; A/C LLC</t>
        </is>
      </c>
      <c r="C155" s="32" t="inlineStr">
        <is>
          <t>(360) 455-0455 (L&amp;I)</t>
        </is>
      </c>
      <c r="D155" s="32" t="inlineStr">
        <is>
          <t>No</t>
        </is>
      </c>
      <c r="E155" s="32" t="inlineStr">
        <is>
          <t>N/A</t>
        </is>
      </c>
      <c r="F155" s="32" t="inlineStr">
        <is>
          <t>N/A</t>
        </is>
      </c>
      <c r="G155" s="32" t="n"/>
      <c r="H155" s="32" t="inlineStr">
        <is>
          <t>0</t>
        </is>
      </c>
      <c r="I155" s="33" t="inlineStr">
        <is>
          <t>Hot</t>
        </is>
      </c>
      <c r="J155" s="32" t="n"/>
      <c r="K155" s="32" t="inlineStr">
        <is>
          <t>GOLDMINE GEO-T1 (license 2007-10-02). L&amp;I LONGEVITY PATH. ZERO WA GMB - only a California "AirTight Air" namesake surfaces. Thurston County (proven Hot territory, Step 16). Verify by phone.</t>
        </is>
      </c>
      <c r="L155" s="32" t="inlineStr">
        <is>
          <t>L&amp;I Goldmine triage</t>
        </is>
      </c>
      <c r="M155" s="32" t="inlineStr">
        <is>
          <t>2026-07-02</t>
        </is>
      </c>
      <c r="N155" s="32" t="n"/>
      <c r="O155" s="32" t="n"/>
      <c r="P155" s="32" t="n"/>
    </row>
    <row r="156" ht="43.5" customHeight="1" s="21">
      <c r="A156" s="32" t="inlineStr">
        <is>
          <t>Mead</t>
        </is>
      </c>
      <c r="B156" s="32" t="inlineStr">
        <is>
          <t>Hydrosci LLC</t>
        </is>
      </c>
      <c r="C156" s="32" t="inlineStr">
        <is>
          <t>(509) 464-0531 (L&amp;I)</t>
        </is>
      </c>
      <c r="D156" s="32" t="inlineStr">
        <is>
          <t>No</t>
        </is>
      </c>
      <c r="E156" s="32" t="inlineStr">
        <is>
          <t>N/A</t>
        </is>
      </c>
      <c r="F156" s="32" t="inlineStr">
        <is>
          <t>N/A</t>
        </is>
      </c>
      <c r="G156" s="32" t="n"/>
      <c r="H156" s="32" t="inlineStr">
        <is>
          <t>0</t>
        </is>
      </c>
      <c r="I156" s="33" t="inlineStr">
        <is>
          <t>Hot</t>
        </is>
      </c>
      <c r="J156" s="32" t="n"/>
      <c r="K156" s="32" t="inlineStr">
        <is>
          <t>GOLDMINE GEO-T1 (license 2008-03-20). L&amp;I LONGEVITY PATH. ZERO GMB. CAVEAT: name suggests hydronics/water specialty - confirm consumer HVAC on call.</t>
        </is>
      </c>
      <c r="L156" s="32" t="inlineStr">
        <is>
          <t>L&amp;I Goldmine triage</t>
        </is>
      </c>
      <c r="M156" s="32" t="inlineStr">
        <is>
          <t>2026-07-02</t>
        </is>
      </c>
      <c r="N156" s="32" t="n"/>
      <c r="O156" s="32" t="n"/>
      <c r="P156" s="32" t="n"/>
    </row>
    <row r="157" ht="58" customHeight="1" s="21">
      <c r="A157" s="32" t="inlineStr">
        <is>
          <t>Milton</t>
        </is>
      </c>
      <c r="B157" s="32" t="inlineStr">
        <is>
          <t>Anderson Nesler Co Inc</t>
        </is>
      </c>
      <c r="C157" s="32" t="inlineStr">
        <is>
          <t>(253) 845-0411</t>
        </is>
      </c>
      <c r="D157" s="32" t="inlineStr">
        <is>
          <t>No</t>
        </is>
      </c>
      <c r="E157" s="32" t="inlineStr">
        <is>
          <t>N/A</t>
        </is>
      </c>
      <c r="F157" s="32" t="inlineStr">
        <is>
          <t>N/A</t>
        </is>
      </c>
      <c r="G157" s="32" t="n"/>
      <c r="H157" s="32" t="inlineStr">
        <is>
          <t>0</t>
        </is>
      </c>
      <c r="I157" s="33" t="inlineStr">
        <is>
          <t>Hot</t>
        </is>
      </c>
      <c r="J157" s="32" t="n"/>
      <c r="K157" s="32" t="inlineStr">
        <is>
          <t>GOLDMINE GEO-T1 (license 2008-04-17). L&amp;I LONGEVITY PATH. GMB exists but ZERO reviews + "Add website" prompt - hidden old-timer profile (Step 21 pattern, license active).</t>
        </is>
      </c>
      <c r="L157" s="32" t="inlineStr">
        <is>
          <t>L&amp;I Goldmine triage</t>
        </is>
      </c>
      <c r="M157" s="32" t="inlineStr">
        <is>
          <t>2026-07-02</t>
        </is>
      </c>
      <c r="N157" s="32" t="n"/>
      <c r="O157" s="32" t="n"/>
      <c r="P157" s="32" t="n"/>
    </row>
    <row r="158" ht="43.5" customHeight="1" s="21">
      <c r="A158" s="32" t="inlineStr">
        <is>
          <t>Belfair</t>
        </is>
      </c>
      <c r="B158" s="32" t="inlineStr">
        <is>
          <t>Reliatemp LLC</t>
        </is>
      </c>
      <c r="C158" s="32" t="inlineStr">
        <is>
          <t>(360) 275-4793 (L&amp;I)</t>
        </is>
      </c>
      <c r="D158" s="32" t="inlineStr">
        <is>
          <t>No</t>
        </is>
      </c>
      <c r="E158" s="32" t="inlineStr">
        <is>
          <t>N/A</t>
        </is>
      </c>
      <c r="F158" s="32" t="inlineStr">
        <is>
          <t>N/A</t>
        </is>
      </c>
      <c r="G158" s="32" t="n"/>
      <c r="H158" s="32" t="inlineStr">
        <is>
          <t>0</t>
        </is>
      </c>
      <c r="I158" s="33" t="inlineStr">
        <is>
          <t>Hot</t>
        </is>
      </c>
      <c r="J158" s="32" t="n"/>
      <c r="K158" s="32" t="inlineStr">
        <is>
          <t>GOLDMINE GEO-T1 (license 2008-07-25). L&amp;I LONGEVITY PATH. ZERO GMB. Belfair = rural Mason County / Hood Canal - isolated non-tourist profile. Verify by phone.</t>
        </is>
      </c>
      <c r="L158" s="32" t="inlineStr">
        <is>
          <t>L&amp;I Goldmine triage</t>
        </is>
      </c>
      <c r="M158" s="32" t="inlineStr">
        <is>
          <t>2026-07-02</t>
        </is>
      </c>
      <c r="N158" s="32" t="n"/>
      <c r="O158" s="32" t="n"/>
      <c r="P158" s="32" t="n"/>
    </row>
    <row r="159" ht="87" customHeight="1" s="21">
      <c r="A159" s="32" t="inlineStr">
        <is>
          <t>Friday Harbor</t>
        </is>
      </c>
      <c r="B159" s="32" t="inlineStr">
        <is>
          <t>San Juan Heating LLC</t>
        </is>
      </c>
      <c r="C159" s="32" t="inlineStr">
        <is>
          <t>(360) 378-4328</t>
        </is>
      </c>
      <c r="D159" s="32" t="inlineStr">
        <is>
          <t>Yes</t>
        </is>
      </c>
      <c r="E159" s="32" t="inlineStr">
        <is>
          <t>sanjuanheating.com</t>
        </is>
      </c>
      <c r="F159" s="32" t="inlineStr">
        <is>
          <t>Not assessed</t>
        </is>
      </c>
      <c r="G159" s="32" t="inlineStr">
        <is>
          <t>4.8</t>
        </is>
      </c>
      <c r="H159" s="32" t="inlineStr">
        <is>
          <t>8</t>
        </is>
      </c>
      <c r="I159" s="44" t="inlineStr">
        <is>
          <t>Watch</t>
        </is>
      </c>
      <c r="J159" s="32" t="n"/>
      <c r="K159" s="32" t="inlineStr">
        <is>
          <t>GOLDMINE GEO-T1 (license 2009-10-22). Under 15-review small-town bar (4.8/8). Ferry-isolated San Juan Island. Site unverified - MANUAL SITE CHECK. PASF intel: "Brown's Heating &amp; Refrigeration" (Friday Harbor, ZERO reviews, no site) = possible hidden second operator on island - check L&amp;I.</t>
        </is>
      </c>
      <c r="L159" s="32" t="inlineStr">
        <is>
          <t>L&amp;I Goldmine triage</t>
        </is>
      </c>
      <c r="M159" s="32" t="inlineStr">
        <is>
          <t>2026-07-02</t>
        </is>
      </c>
      <c r="N159" s="32" t="n"/>
      <c r="O159" s="32" t="n"/>
      <c r="P159" s="32" t="n"/>
    </row>
    <row r="160" ht="58" customHeight="1" s="21">
      <c r="A160" s="32" t="inlineStr">
        <is>
          <t>Blaine</t>
        </is>
      </c>
      <c r="B160" s="32" t="inlineStr">
        <is>
          <t>House Doctors</t>
        </is>
      </c>
      <c r="C160" s="32" t="inlineStr">
        <is>
          <t>(360) 319-9625 (L&amp;I)</t>
        </is>
      </c>
      <c r="D160" s="32" t="inlineStr">
        <is>
          <t>No</t>
        </is>
      </c>
      <c r="E160" s="32" t="inlineStr">
        <is>
          <t>N/A</t>
        </is>
      </c>
      <c r="F160" s="32" t="inlineStr">
        <is>
          <t>N/A</t>
        </is>
      </c>
      <c r="G160" s="32" t="n"/>
      <c r="H160" s="32" t="inlineStr">
        <is>
          <t>0</t>
        </is>
      </c>
      <c r="I160" s="33" t="inlineStr">
        <is>
          <t>Hot</t>
        </is>
      </c>
      <c r="J160" s="32" t="n"/>
      <c r="K160" s="32" t="inlineStr">
        <is>
          <t>GOLDMINE GEO-T1 (license 2010-07-15). L&amp;I LONGEVITY PATH. ZERO GMB (Maps falls through to unrelated electrician). CAVEAT: franchise-style handyman name - confirm consumer HVAC focus on call.</t>
        </is>
      </c>
      <c r="L160" s="32" t="inlineStr">
        <is>
          <t>L&amp;I Goldmine triage</t>
        </is>
      </c>
      <c r="M160" s="32" t="inlineStr">
        <is>
          <t>2026-07-02</t>
        </is>
      </c>
      <c r="N160" s="32" t="n"/>
      <c r="O160" s="32" t="n"/>
      <c r="P160" s="32" t="n"/>
    </row>
    <row r="161" ht="58" customHeight="1" s="21">
      <c r="A161" s="32" t="inlineStr">
        <is>
          <t>Yakima</t>
        </is>
      </c>
      <c r="B161" s="32" t="inlineStr">
        <is>
          <t>Nickoloff Refrigeration Heating and A/C</t>
        </is>
      </c>
      <c r="C161" s="32" t="inlineStr">
        <is>
          <t>(509) 952-1445</t>
        </is>
      </c>
      <c r="D161" s="32" t="inlineStr">
        <is>
          <t>No</t>
        </is>
      </c>
      <c r="E161" s="32" t="inlineStr">
        <is>
          <t>N/A</t>
        </is>
      </c>
      <c r="F161" s="32" t="inlineStr">
        <is>
          <t>N/A</t>
        </is>
      </c>
      <c r="G161" s="32" t="n"/>
      <c r="H161" s="32" t="inlineStr">
        <is>
          <t>0</t>
        </is>
      </c>
      <c r="I161" s="33" t="inlineStr">
        <is>
          <t>Hot</t>
        </is>
      </c>
      <c r="J161" s="32" t="inlineStr">
        <is>
          <t>Robert Nickoloff (L&amp;I principal)</t>
        </is>
      </c>
      <c r="K161" s="32" t="inlineStr">
        <is>
          <t>GOLDMINE T2 (license 2000-02-28). L&amp;I LONGEVITY PATH. GMB exists but ZERO reviews + "Add website" prompt - hidden old-timer. Yakima core is saturated but this operator is invisible to it.</t>
        </is>
      </c>
      <c r="L161" s="32" t="inlineStr">
        <is>
          <t>L&amp;I Goldmine triage</t>
        </is>
      </c>
      <c r="M161" s="32" t="inlineStr">
        <is>
          <t>2026-07-02</t>
        </is>
      </c>
      <c r="N161" s="32" t="n"/>
      <c r="O161" s="32" t="n"/>
      <c r="P161" s="32" t="n"/>
    </row>
    <row r="162" ht="72.5" customHeight="1" s="21">
      <c r="A162" s="32" t="inlineStr">
        <is>
          <t>Spokane</t>
        </is>
      </c>
      <c r="B162" s="32" t="inlineStr">
        <is>
          <t>Smith Heating &amp; Cooling</t>
        </is>
      </c>
      <c r="C162" s="32" t="inlineStr">
        <is>
          <t>(509) 328-4431</t>
        </is>
      </c>
      <c r="D162" s="32" t="inlineStr">
        <is>
          <t>Yes</t>
        </is>
      </c>
      <c r="E162" s="32" t="inlineStr">
        <is>
          <t>hibuwebsites.com subdomain (rented template, no owned domain)</t>
        </is>
      </c>
      <c r="F162" s="32" t="inlineStr">
        <is>
          <t>Poor - rented template</t>
        </is>
      </c>
      <c r="G162" s="32" t="inlineStr">
        <is>
          <t>4.4</t>
        </is>
      </c>
      <c r="H162" s="32" t="inlineStr">
        <is>
          <t>25</t>
        </is>
      </c>
      <c r="I162" s="34" t="inlineStr">
        <is>
          <t>Warm</t>
        </is>
      </c>
      <c r="J162" s="32" t="inlineStr">
        <is>
          <t>Robert Smith (L&amp;I principal)</t>
        </is>
      </c>
      <c r="K162" s="32" t="inlineStr">
        <is>
          <t>GOLDMINE T2 (license 2000-02-28). Meets 4.0/25 bar exactly. Website button points to a hibuwebsites.com TEMPLATE SUBDOMAIN - no owned domain (Facebook-only-equivalent signal) + rented turnkey site = Warm. Pitch: own your domain/brand. Same-day service, well reviewed.</t>
        </is>
      </c>
      <c r="L162" s="32" t="inlineStr">
        <is>
          <t>L&amp;I Goldmine triage</t>
        </is>
      </c>
      <c r="M162" s="32" t="inlineStr">
        <is>
          <t>2026-07-02</t>
        </is>
      </c>
      <c r="N162" s="32" t="n"/>
      <c r="O162" s="32" t="n"/>
      <c r="P162" s="32" t="n"/>
    </row>
    <row r="163" ht="43.5" customHeight="1" s="21">
      <c r="A163" s="32" t="inlineStr">
        <is>
          <t>Monroe</t>
        </is>
      </c>
      <c r="B163" s="32" t="inlineStr">
        <is>
          <t>Team Mechanical Inc</t>
        </is>
      </c>
      <c r="C163" s="32" t="inlineStr">
        <is>
          <t>(360) 805-1835</t>
        </is>
      </c>
      <c r="D163" s="32" t="inlineStr">
        <is>
          <t>No</t>
        </is>
      </c>
      <c r="E163" s="32" t="inlineStr">
        <is>
          <t>N/A</t>
        </is>
      </c>
      <c r="F163" s="32" t="inlineStr">
        <is>
          <t>N/A</t>
        </is>
      </c>
      <c r="G163" s="32" t="n"/>
      <c r="H163" s="32" t="inlineStr">
        <is>
          <t>0</t>
        </is>
      </c>
      <c r="I163" s="33" t="inlineStr">
        <is>
          <t>Hot</t>
        </is>
      </c>
      <c r="J163" s="32" t="inlineStr">
        <is>
          <t>Jeffrey Saether (L&amp;I principal)</t>
        </is>
      </c>
      <c r="K163" s="32" t="inlineStr">
        <is>
          <t>GOLDMINE T2 (license 2000-02-29). L&amp;I LONGEVITY PATH. ZERO GMB - Monroe search returns only other shops. Verify by phone.</t>
        </is>
      </c>
      <c r="L163" s="32" t="inlineStr">
        <is>
          <t>L&amp;I Goldmine triage</t>
        </is>
      </c>
      <c r="M163" s="32" t="inlineStr">
        <is>
          <t>2026-07-02</t>
        </is>
      </c>
      <c r="N163" s="32" t="n"/>
      <c r="O163" s="32" t="n"/>
      <c r="P163" s="32" t="n"/>
    </row>
    <row r="164" ht="72.5" customHeight="1" s="21">
      <c r="A164" s="32" t="inlineStr">
        <is>
          <t>Anacortes</t>
        </is>
      </c>
      <c r="B164" s="32" t="inlineStr">
        <is>
          <t>Tide Water Plbg &amp; Mechanical</t>
        </is>
      </c>
      <c r="C164" s="32" t="inlineStr">
        <is>
          <t>(360) 201-1015</t>
        </is>
      </c>
      <c r="D164" s="32" t="inlineStr">
        <is>
          <t>No</t>
        </is>
      </c>
      <c r="E164" s="32" t="inlineStr">
        <is>
          <t>N/A</t>
        </is>
      </c>
      <c r="F164" s="32" t="inlineStr">
        <is>
          <t>N/A</t>
        </is>
      </c>
      <c r="G164" s="32" t="n"/>
      <c r="H164" s="32" t="inlineStr">
        <is>
          <t>0</t>
        </is>
      </c>
      <c r="I164" s="33" t="inlineStr">
        <is>
          <t>Hot</t>
        </is>
      </c>
      <c r="J164" s="32" t="inlineStr">
        <is>
          <t>Eldon Lloyd Johnson (L&amp;I principal)</t>
        </is>
      </c>
      <c r="K164" s="32" t="inlineStr">
        <is>
          <t>GOLDMINE T2 (license 2000-05-16). L&amp;I LONGEVITY PATH. ZERO GMB - search returns only plumbers. CAVEAT: plumbing-primary name, confirm HVAC mix. Anacortes previously produced zero Hot/Warm - this is its first invisible operator.</t>
        </is>
      </c>
      <c r="L164" s="32" t="inlineStr">
        <is>
          <t>L&amp;I Goldmine triage</t>
        </is>
      </c>
      <c r="M164" s="32" t="inlineStr">
        <is>
          <t>2026-07-02</t>
        </is>
      </c>
      <c r="N164" s="32" t="n"/>
      <c r="O164" s="32" t="n"/>
      <c r="P164" s="32" t="n"/>
    </row>
    <row r="165" ht="72.5" customHeight="1" s="21">
      <c r="A165" s="32" t="inlineStr">
        <is>
          <t>Yakima</t>
        </is>
      </c>
      <c r="B165" s="32" t="inlineStr">
        <is>
          <t>Platte Heating &amp; Air Conditioning Inc</t>
        </is>
      </c>
      <c r="C165" s="32" t="inlineStr">
        <is>
          <t>(509) 965-3538</t>
        </is>
      </c>
      <c r="D165" s="32" t="inlineStr">
        <is>
          <t>No</t>
        </is>
      </c>
      <c r="E165" s="32" t="inlineStr">
        <is>
          <t>N/A</t>
        </is>
      </c>
      <c r="F165" s="32" t="inlineStr">
        <is>
          <t>N/A</t>
        </is>
      </c>
      <c r="G165" s="32" t="inlineStr">
        <is>
          <t>4.5</t>
        </is>
      </c>
      <c r="H165" s="32" t="inlineStr">
        <is>
          <t>22</t>
        </is>
      </c>
      <c r="I165" s="33" t="inlineStr">
        <is>
          <t>Hot</t>
        </is>
      </c>
      <c r="J165" s="32" t="inlineStr">
        <is>
          <t>Brian Platte (L&amp;I principal)</t>
        </is>
      </c>
      <c r="K165" s="32" t="inlineStr">
        <is>
          <t>GOLDMINE T2 (license 2000-08-31). L&amp;I LONGEVITY PATH. "Add website" prompt - no website. Family-run, owner Brian named in reviews, 4.5/22 (just under bar - longevity covers). "No big fancy painted building" per review - exactly the profile.</t>
        </is>
      </c>
      <c r="L165" s="32" t="inlineStr">
        <is>
          <t>L&amp;I Goldmine triage</t>
        </is>
      </c>
      <c r="M165" s="32" t="inlineStr">
        <is>
          <t>2026-07-02</t>
        </is>
      </c>
      <c r="N165" s="32" t="n"/>
      <c r="O165" s="32" t="n"/>
      <c r="P165" s="32" t="n"/>
    </row>
    <row r="166" ht="72.5" customHeight="1" s="21">
      <c r="A166" s="32" t="inlineStr">
        <is>
          <t>Kennewick</t>
        </is>
      </c>
      <c r="B166" s="32" t="inlineStr">
        <is>
          <t>Horst Heating &amp; Air Conditioning</t>
        </is>
      </c>
      <c r="C166" s="32" t="inlineStr">
        <is>
          <t>(509) 737-0967</t>
        </is>
      </c>
      <c r="D166" s="32" t="inlineStr">
        <is>
          <t>No</t>
        </is>
      </c>
      <c r="E166" s="32" t="inlineStr">
        <is>
          <t>N/A</t>
        </is>
      </c>
      <c r="F166" s="32" t="inlineStr">
        <is>
          <t>N/A</t>
        </is>
      </c>
      <c r="G166" s="32" t="inlineStr">
        <is>
          <t>4.7</t>
        </is>
      </c>
      <c r="H166" s="32" t="inlineStr">
        <is>
          <t>58</t>
        </is>
      </c>
      <c r="I166" s="33" t="inlineStr">
        <is>
          <t>Hot</t>
        </is>
      </c>
      <c r="J166" s="32" t="inlineStr">
        <is>
          <t>Steven Paul Horst (L&amp;I principal)</t>
        </is>
      </c>
      <c r="K166" s="32" t="inlineStr">
        <is>
          <t>GOLDMINE T2 (license 2000-09-25). L&amp;I LONGEVITY PATH + meets review bar outright (4.7/58). "Add website"/"Add hours" prompts - NO website despite 58 reviews. Owner Steve Horst, 15+ yr customer relationships. ONE OF THE BEST HOTS ON THE SHEET.</t>
        </is>
      </c>
      <c r="L166" s="32" t="inlineStr">
        <is>
          <t>L&amp;I Goldmine triage</t>
        </is>
      </c>
      <c r="M166" s="32" t="inlineStr">
        <is>
          <t>2026-07-02</t>
        </is>
      </c>
      <c r="N166" s="32" t="n"/>
      <c r="O166" s="32" t="n"/>
      <c r="P166" s="32" t="n"/>
    </row>
    <row r="167" ht="58" customHeight="1" s="21">
      <c r="A167" s="32" t="inlineStr">
        <is>
          <t>Mount Vernon</t>
        </is>
      </c>
      <c r="B167" s="32" t="inlineStr">
        <is>
          <t>Snowline Refrigeration Inc</t>
        </is>
      </c>
      <c r="C167" s="32" t="inlineStr">
        <is>
          <t>(360) 661-1103</t>
        </is>
      </c>
      <c r="D167" s="32" t="inlineStr">
        <is>
          <t>No</t>
        </is>
      </c>
      <c r="E167" s="32" t="inlineStr">
        <is>
          <t>N/A</t>
        </is>
      </c>
      <c r="F167" s="32" t="inlineStr">
        <is>
          <t>N/A</t>
        </is>
      </c>
      <c r="G167" s="32" t="n"/>
      <c r="H167" s="32" t="inlineStr">
        <is>
          <t>0</t>
        </is>
      </c>
      <c r="I167" s="33" t="inlineStr">
        <is>
          <t>Hot</t>
        </is>
      </c>
      <c r="J167" s="32" t="inlineStr">
        <is>
          <t>Michael D Anderson (L&amp;I principal)</t>
        </is>
      </c>
      <c r="K167" s="32" t="inlineStr">
        <is>
          <t>GOLDMINE T2 (license 2001-12-28). L&amp;I LONGEVITY PATH. ZERO GMB - search returns only unrelated businesses/condos. CAVEAT: refrigeration name may mean commercial - confirm on call.</t>
        </is>
      </c>
      <c r="L167" s="32" t="inlineStr">
        <is>
          <t>L&amp;I Goldmine triage</t>
        </is>
      </c>
      <c r="M167" s="32" t="inlineStr">
        <is>
          <t>2026-07-02</t>
        </is>
      </c>
      <c r="N167" s="32" t="n"/>
      <c r="O167" s="32" t="n"/>
      <c r="P167" s="32" t="n"/>
    </row>
    <row r="168" ht="87" customHeight="1" s="21">
      <c r="A168" s="32" t="inlineStr">
        <is>
          <t>Mount Vernon</t>
        </is>
      </c>
      <c r="B168" s="32" t="inlineStr">
        <is>
          <t>Apex Radiant Heating</t>
        </is>
      </c>
      <c r="C168" s="32" t="inlineStr">
        <is>
          <t>(360) 336-1924</t>
        </is>
      </c>
      <c r="D168" s="32" t="inlineStr">
        <is>
          <t>No</t>
        </is>
      </c>
      <c r="E168" s="32" t="inlineStr">
        <is>
          <t>N/A</t>
        </is>
      </c>
      <c r="F168" s="32" t="inlineStr">
        <is>
          <t>N/A</t>
        </is>
      </c>
      <c r="G168" s="32" t="inlineStr">
        <is>
          <t>5.0</t>
        </is>
      </c>
      <c r="H168" s="32" t="inlineStr">
        <is>
          <t>2</t>
        </is>
      </c>
      <c r="I168" s="33" t="inlineStr">
        <is>
          <t>Hot</t>
        </is>
      </c>
      <c r="J168" s="32" t="inlineStr">
        <is>
          <t>Stacey Davis (L&amp;I principal + named in reviews)</t>
        </is>
      </c>
      <c r="K168" s="32" t="inlineStr">
        <is>
          <t>GOLDMINE T2 (license 2002-05-23). L&amp;I LONGEVITY PATH. UNCLAIMED GMB + "Add website"/"Add hours" prompts. Radiant-heating specialist, owner-operated (Stacey Davis, "worked exclusively on radiant systems for many years"). CAVEAT: niche specialty + 2 stale reviews - verify by phone.</t>
        </is>
      </c>
      <c r="L168" s="32" t="inlineStr">
        <is>
          <t>L&amp;I Goldmine triage</t>
        </is>
      </c>
      <c r="M168" s="32" t="inlineStr">
        <is>
          <t>2026-07-02</t>
        </is>
      </c>
      <c r="N168" s="32" t="n"/>
      <c r="O168" s="32" t="n"/>
      <c r="P168" s="32" t="n"/>
    </row>
    <row r="169" ht="72.5" customHeight="1" s="21">
      <c r="A169" s="32" t="inlineStr">
        <is>
          <t>Bellingham</t>
        </is>
      </c>
      <c r="B169" s="32" t="inlineStr">
        <is>
          <t>Ray Heating &amp; AC Inc</t>
        </is>
      </c>
      <c r="C169" s="32" t="inlineStr">
        <is>
          <t>(360) 671-5555</t>
        </is>
      </c>
      <c r="D169" s="32" t="inlineStr">
        <is>
          <t>Yes</t>
        </is>
      </c>
      <c r="E169" s="32" t="inlineStr">
        <is>
          <t>rayheating.biz</t>
        </is>
      </c>
      <c r="F169" s="32" t="inlineStr">
        <is>
          <t>OK - modern template</t>
        </is>
      </c>
      <c r="G169" s="32" t="inlineStr">
        <is>
          <t>5.0</t>
        </is>
      </c>
      <c r="H169" s="32" t="inlineStr">
        <is>
          <t>1</t>
        </is>
      </c>
      <c r="I169" s="44" t="inlineStr">
        <is>
          <t>Watch</t>
        </is>
      </c>
      <c r="J169" s="32" t="inlineStr">
        <is>
          <t>David Russell Lybecker (L&amp;I principal)</t>
        </is>
      </c>
      <c r="K169" s="32" t="inlineStr">
        <is>
          <t>GOLDMINE T2 (license 2002-08-05). Site verified by screenshot: clean modern template (stock family photo, functional nav) - not Warm material. But only 1 review in ~20 years = severe GMB neglect. Recheck; possible GMB-optimization pitch angle.</t>
        </is>
      </c>
      <c r="L169" s="32" t="inlineStr">
        <is>
          <t>L&amp;I Goldmine triage</t>
        </is>
      </c>
      <c r="M169" s="32" t="inlineStr">
        <is>
          <t>2026-07-02</t>
        </is>
      </c>
      <c r="N169" s="32" t="n"/>
      <c r="O169" s="32" t="n"/>
      <c r="P169" s="32" t="n"/>
    </row>
    <row r="170" ht="43.5" customHeight="1" s="21">
      <c r="A170" s="32" t="inlineStr">
        <is>
          <t>Spokane</t>
        </is>
      </c>
      <c r="B170" s="32" t="inlineStr">
        <is>
          <t>L &amp; Y Htg &amp; Air Conditioning</t>
        </is>
      </c>
      <c r="C170" s="32" t="inlineStr">
        <is>
          <t>(509) 714-7801</t>
        </is>
      </c>
      <c r="D170" s="32" t="inlineStr">
        <is>
          <t>No</t>
        </is>
      </c>
      <c r="E170" s="32" t="inlineStr">
        <is>
          <t>N/A</t>
        </is>
      </c>
      <c r="F170" s="32" t="inlineStr">
        <is>
          <t>N/A</t>
        </is>
      </c>
      <c r="G170" s="32" t="n"/>
      <c r="H170" s="32" t="inlineStr">
        <is>
          <t>0</t>
        </is>
      </c>
      <c r="I170" s="33" t="inlineStr">
        <is>
          <t>Hot</t>
        </is>
      </c>
      <c r="J170" s="32" t="inlineStr">
        <is>
          <t>Yevgeniy Belich (L&amp;I principal)</t>
        </is>
      </c>
      <c r="K170" s="32" t="inlineStr">
        <is>
          <t>GOLDMINE T2 (license 2003-05-01). L&amp;I LONGEVITY PATH. ZERO GMB - Spokane search returns only chains. Verify by phone.</t>
        </is>
      </c>
      <c r="L170" s="32" t="inlineStr">
        <is>
          <t>L&amp;I Goldmine triage</t>
        </is>
      </c>
      <c r="M170" s="32" t="inlineStr">
        <is>
          <t>2026-07-02</t>
        </is>
      </c>
      <c r="N170" s="32" t="n"/>
      <c r="O170" s="32" t="n"/>
      <c r="P170" s="32" t="n"/>
    </row>
    <row r="171" ht="43.5" customHeight="1" s="21">
      <c r="A171" s="32" t="inlineStr">
        <is>
          <t>Snohomish</t>
        </is>
      </c>
      <c r="B171" s="32" t="inlineStr">
        <is>
          <t>C &amp; C Olympic Heating Inc</t>
        </is>
      </c>
      <c r="C171" s="32" t="inlineStr">
        <is>
          <t>(425) 670-0277</t>
        </is>
      </c>
      <c r="D171" s="32" t="inlineStr">
        <is>
          <t>No</t>
        </is>
      </c>
      <c r="E171" s="32" t="inlineStr">
        <is>
          <t>N/A</t>
        </is>
      </c>
      <c r="F171" s="32" t="inlineStr">
        <is>
          <t>N/A</t>
        </is>
      </c>
      <c r="G171" s="32" t="n"/>
      <c r="H171" s="32" t="inlineStr">
        <is>
          <t>0</t>
        </is>
      </c>
      <c r="I171" s="33" t="inlineStr">
        <is>
          <t>Hot</t>
        </is>
      </c>
      <c r="J171" s="32" t="inlineStr">
        <is>
          <t>Christopher Cannon (L&amp;I principal)</t>
        </is>
      </c>
      <c r="K171" s="32" t="inlineStr">
        <is>
          <t>GOLDMINE T2 (license 2003-06-05). L&amp;I LONGEVITY PATH. ZERO GMB - search returns only other Snohomish shops. Verify by phone.</t>
        </is>
      </c>
      <c r="L171" s="32" t="inlineStr">
        <is>
          <t>L&amp;I Goldmine triage</t>
        </is>
      </c>
      <c r="M171" s="32" t="inlineStr">
        <is>
          <t>2026-07-02</t>
        </is>
      </c>
      <c r="N171" s="32" t="n"/>
      <c r="O171" s="32" t="n"/>
      <c r="P171" s="32" t="n"/>
    </row>
    <row r="172" ht="43.5" customHeight="1" s="21">
      <c r="A172" s="32" t="inlineStr">
        <is>
          <t>Snohomish</t>
        </is>
      </c>
      <c r="B172" s="32" t="inlineStr">
        <is>
          <t>Duro Heating (Duro Heating Service)</t>
        </is>
      </c>
      <c r="C172" s="32" t="inlineStr">
        <is>
          <t>(206) 244-2378</t>
        </is>
      </c>
      <c r="D172" s="32" t="inlineStr">
        <is>
          <t>No</t>
        </is>
      </c>
      <c r="E172" s="32" t="inlineStr">
        <is>
          <t>N/A</t>
        </is>
      </c>
      <c r="F172" s="32" t="inlineStr">
        <is>
          <t>N/A</t>
        </is>
      </c>
      <c r="G172" s="32" t="inlineStr">
        <is>
          <t>5.0</t>
        </is>
      </c>
      <c r="H172" s="32" t="inlineStr">
        <is>
          <t>3</t>
        </is>
      </c>
      <c r="I172" s="33" t="inlineStr">
        <is>
          <t>Hot</t>
        </is>
      </c>
      <c r="J172" s="32" t="inlineStr">
        <is>
          <t>Brent Corey (L&amp;I principal, named in reviews)</t>
        </is>
      </c>
      <c r="K172" s="32" t="inlineStr">
        <is>
          <t>GOLDMINE T2 (license 2003-09-29). L&amp;I LONGEVITY PATH. "Add website" prompt - no website. Veteran-owned (Army/Marines - Brent, Braden, Enzo). 5.0/3 organic reviews.</t>
        </is>
      </c>
      <c r="L172" s="32" t="inlineStr">
        <is>
          <t>L&amp;I Goldmine triage</t>
        </is>
      </c>
      <c r="M172" s="32" t="inlineStr">
        <is>
          <t>2026-07-02</t>
        </is>
      </c>
      <c r="N172" s="32" t="n"/>
      <c r="O172" s="32" t="n"/>
      <c r="P172" s="32" t="n"/>
    </row>
    <row r="173" ht="58" customHeight="1" s="21">
      <c r="A173" s="32" t="inlineStr">
        <is>
          <t>Prosser</t>
        </is>
      </c>
      <c r="B173" s="32" t="inlineStr">
        <is>
          <t>ACE Heating &amp; Cooling</t>
        </is>
      </c>
      <c r="C173" s="32" t="inlineStr">
        <is>
          <t>(509) 947-1821</t>
        </is>
      </c>
      <c r="D173" s="32" t="inlineStr">
        <is>
          <t>Yes</t>
        </is>
      </c>
      <c r="E173" s="32" t="inlineStr">
        <is>
          <t>aceheatingandcoolingwa.com</t>
        </is>
      </c>
      <c r="F173" s="32" t="inlineStr">
        <is>
          <t>Not assessed</t>
        </is>
      </c>
      <c r="G173" s="32" t="inlineStr">
        <is>
          <t>5.0</t>
        </is>
      </c>
      <c r="H173" s="32" t="inlineStr">
        <is>
          <t>1</t>
        </is>
      </c>
      <c r="I173" s="44" t="inlineStr">
        <is>
          <t>Watch</t>
        </is>
      </c>
      <c r="J173" s="32" t="inlineStr">
        <is>
          <t>Bryan Steinbock (L&amp;I principal)</t>
        </is>
      </c>
      <c r="K173" s="32" t="inlineStr">
        <is>
          <t>GOLDMINE T1 (license 2003-10-27). Only 1 review (8 yrs old) despite ~20-yr license - severe GMB neglect. Prosser small ag town. Site unverified - MANUAL SITE CHECK; GMB-optimization pitch angle like Ray Bellingham.</t>
        </is>
      </c>
      <c r="L173" s="32" t="inlineStr">
        <is>
          <t>L&amp;I Goldmine triage</t>
        </is>
      </c>
      <c r="M173" s="32" t="inlineStr">
        <is>
          <t>2026-07-02</t>
        </is>
      </c>
      <c r="N173" s="32" t="n"/>
      <c r="O173" s="32" t="n"/>
      <c r="P173" s="32" t="n"/>
    </row>
    <row r="174" ht="58" customHeight="1" s="21">
      <c r="A174" s="32" t="inlineStr">
        <is>
          <t>Yakima</t>
        </is>
      </c>
      <c r="B174" s="32" t="inlineStr">
        <is>
          <t>Yakima Mechanical Inc</t>
        </is>
      </c>
      <c r="C174" s="32" t="inlineStr">
        <is>
          <t>(509) 469-2773</t>
        </is>
      </c>
      <c r="D174" s="32" t="inlineStr">
        <is>
          <t>Yes</t>
        </is>
      </c>
      <c r="E174" s="32" t="inlineStr">
        <is>
          <t>Has website</t>
        </is>
      </c>
      <c r="F174" s="32" t="inlineStr">
        <is>
          <t>Not assessed</t>
        </is>
      </c>
      <c r="G174" s="32" t="inlineStr">
        <is>
          <t>4.0</t>
        </is>
      </c>
      <c r="H174" s="32" t="inlineStr">
        <is>
          <t>21</t>
        </is>
      </c>
      <c r="I174" s="44" t="inlineStr">
        <is>
          <t>Watch</t>
        </is>
      </c>
      <c r="J174" s="32" t="inlineStr">
        <is>
          <t>Jesse Froehlich (L&amp;I principal)</t>
        </is>
      </c>
      <c r="K174" s="32" t="inlineStr">
        <is>
          <t>GOLDMINE T2 (license 2005-12-21). Settled from Union Gap PASF: 4.0/21 - meets star bar, under 25-review bar. Site unverified - MANUAL SITE CHECK. Recheck as reviews grow.</t>
        </is>
      </c>
      <c r="L174" s="32" t="inlineStr">
        <is>
          <t>L&amp;I Goldmine triage</t>
        </is>
      </c>
      <c r="M174" s="32" t="inlineStr">
        <is>
          <t>2026-07-02</t>
        </is>
      </c>
      <c r="N174" s="32" t="n"/>
      <c r="O174" s="32" t="n"/>
      <c r="P174" s="32" t="n"/>
    </row>
    <row r="175" ht="43.5" customHeight="1" s="21">
      <c r="A175" s="32" t="inlineStr">
        <is>
          <t>Stanwood</t>
        </is>
      </c>
      <c r="B175" s="32" t="inlineStr">
        <is>
          <t>Air-Tech LLC</t>
        </is>
      </c>
      <c r="C175" s="32" t="inlineStr">
        <is>
          <t>(360) 420-4910</t>
        </is>
      </c>
      <c r="D175" s="32" t="inlineStr">
        <is>
          <t>No</t>
        </is>
      </c>
      <c r="E175" s="32" t="inlineStr">
        <is>
          <t>N/A</t>
        </is>
      </c>
      <c r="F175" s="32" t="inlineStr">
        <is>
          <t>N/A</t>
        </is>
      </c>
      <c r="G175" s="32" t="n"/>
      <c r="H175" s="32" t="inlineStr">
        <is>
          <t>0</t>
        </is>
      </c>
      <c r="I175" s="33" t="inlineStr">
        <is>
          <t>Hot</t>
        </is>
      </c>
      <c r="J175" s="32" t="inlineStr">
        <is>
          <t>Tom Leahy (L&amp;I principal)</t>
        </is>
      </c>
      <c r="K175" s="32" t="inlineStr">
        <is>
          <t>GOLDMINE T2 (license 2005-02-16). L&amp;I LONGEVITY PATH. ZERO GMB - Stanwood search returns only other companies. Verify by phone.</t>
        </is>
      </c>
      <c r="L175" s="32" t="inlineStr">
        <is>
          <t>L&amp;I Goldmine triage</t>
        </is>
      </c>
      <c r="M175" s="32" t="inlineStr">
        <is>
          <t>2026-07-02</t>
        </is>
      </c>
      <c r="N175" s="32" t="n"/>
      <c r="O175" s="32" t="n"/>
      <c r="P175" s="32" t="n"/>
    </row>
    <row r="176" ht="43.5" customHeight="1" s="21">
      <c r="A176" s="32" t="inlineStr">
        <is>
          <t>Arlington</t>
        </is>
      </c>
      <c r="B176" s="32" t="inlineStr">
        <is>
          <t>Northshore Heating LLC</t>
        </is>
      </c>
      <c r="C176" s="32" t="inlineStr">
        <is>
          <t>(425) 330-8586</t>
        </is>
      </c>
      <c r="D176" s="32" t="inlineStr">
        <is>
          <t>No</t>
        </is>
      </c>
      <c r="E176" s="32" t="inlineStr">
        <is>
          <t>N/A</t>
        </is>
      </c>
      <c r="F176" s="32" t="inlineStr">
        <is>
          <t>N/A</t>
        </is>
      </c>
      <c r="G176" s="32" t="n"/>
      <c r="H176" s="32" t="inlineStr">
        <is>
          <t>0</t>
        </is>
      </c>
      <c r="I176" s="33" t="inlineStr">
        <is>
          <t>Hot</t>
        </is>
      </c>
      <c r="J176" s="32" t="inlineStr">
        <is>
          <t>Robert Dean Fuson (L&amp;I principal)</t>
        </is>
      </c>
      <c r="K176" s="32" t="inlineStr">
        <is>
          <t>GOLDMINE T2 (license 2005-04-12). L&amp;I LONGEVITY PATH. ZERO GMB - Arlington search returns only established players. Verify by phone.</t>
        </is>
      </c>
      <c r="L176" s="32" t="inlineStr">
        <is>
          <t>L&amp;I Goldmine triage</t>
        </is>
      </c>
      <c r="M176" s="32" t="inlineStr">
        <is>
          <t>2026-07-02</t>
        </is>
      </c>
      <c r="N176" s="32" t="n"/>
      <c r="O176" s="32" t="n"/>
      <c r="P176" s="32" t="n"/>
    </row>
    <row r="177" ht="87" customHeight="1" s="21">
      <c r="A177" s="32" t="inlineStr">
        <is>
          <t>Spokane Valley</t>
        </is>
      </c>
      <c r="B177" s="32" t="inlineStr">
        <is>
          <t>Anderson's Sheet Metal Heating (Anderson's Heating &amp; Plumbing Inc)</t>
        </is>
      </c>
      <c r="C177" s="32" t="inlineStr">
        <is>
          <t>(509) 928-0960</t>
        </is>
      </c>
      <c r="D177" s="32" t="inlineStr">
        <is>
          <t>Yes</t>
        </is>
      </c>
      <c r="E177" s="32" t="inlineStr">
        <is>
          <t>andersonhvacandplumbing.com</t>
        </is>
      </c>
      <c r="F177" s="32" t="inlineStr">
        <is>
          <t>Poor - dated</t>
        </is>
      </c>
      <c r="G177" s="32" t="inlineStr">
        <is>
          <t>4.6</t>
        </is>
      </c>
      <c r="H177" s="32" t="inlineStr">
        <is>
          <t>43</t>
        </is>
      </c>
      <c r="I177" s="34" t="inlineStr">
        <is>
          <t>Warm</t>
        </is>
      </c>
      <c r="J177" s="32" t="inlineStr">
        <is>
          <t>Michael Raymond Anderson (L&amp;I principal)</t>
        </is>
      </c>
      <c r="K177" s="32" t="inlineStr">
        <is>
          <t>GOLDMINE T2 (license 2006-01-20). Meets bar (4.6/43). Site verified by screenshot: hero is a BLURRY SCANNED PRINT AD (old logo/phone/address baked into pixelated image) + generic stock family photo + bare 3-link nav (2+ checklist flags). Solid reputation, ancient web presence.</t>
        </is>
      </c>
      <c r="L177" s="32" t="inlineStr">
        <is>
          <t>L&amp;I Goldmine triage</t>
        </is>
      </c>
      <c r="M177" s="32" t="inlineStr">
        <is>
          <t>2026-07-02</t>
        </is>
      </c>
      <c r="N177" s="32" t="n"/>
      <c r="O177" s="32" t="n"/>
      <c r="P177" s="32" t="n"/>
    </row>
    <row r="178" ht="58" customHeight="1" s="21">
      <c r="A178" s="32" t="inlineStr">
        <is>
          <t>Enumclaw</t>
        </is>
      </c>
      <c r="B178" s="32" t="inlineStr">
        <is>
          <t>Haas Heating LLC</t>
        </is>
      </c>
      <c r="C178" s="32" t="inlineStr">
        <is>
          <t>(206) 371-5413</t>
        </is>
      </c>
      <c r="D178" s="32" t="inlineStr">
        <is>
          <t>No</t>
        </is>
      </c>
      <c r="E178" s="32" t="inlineStr">
        <is>
          <t>N/A</t>
        </is>
      </c>
      <c r="F178" s="32" t="inlineStr">
        <is>
          <t>N/A</t>
        </is>
      </c>
      <c r="G178" s="32" t="n"/>
      <c r="H178" s="32" t="inlineStr">
        <is>
          <t>0</t>
        </is>
      </c>
      <c r="I178" s="33" t="inlineStr">
        <is>
          <t>Hot</t>
        </is>
      </c>
      <c r="J178" s="32" t="inlineStr">
        <is>
          <t>Scott Haas (L&amp;I principal)</t>
        </is>
      </c>
      <c r="K178" s="32" t="inlineStr">
        <is>
          <t>GOLDMINE T2 (license 2006-03-15). L&amp;I LONGEVITY PATH. GMB exists but ZERO reviews + Add website/hours/photo prompts. Enumclaw = Lloyd's territory (small real market, few incumbents).</t>
        </is>
      </c>
      <c r="L178" s="32" t="inlineStr">
        <is>
          <t>L&amp;I Goldmine triage</t>
        </is>
      </c>
      <c r="M178" s="32" t="inlineStr">
        <is>
          <t>2026-07-02</t>
        </is>
      </c>
      <c r="N178" s="32" t="n"/>
      <c r="O178" s="32" t="n"/>
      <c r="P178" s="32" t="n"/>
    </row>
    <row r="179" ht="43.5" customHeight="1" s="21">
      <c r="A179" s="32" t="inlineStr">
        <is>
          <t>Everett (lic. Snohomish)</t>
        </is>
      </c>
      <c r="B179" s="32" t="inlineStr">
        <is>
          <t>North Star Heating &amp; Cooling</t>
        </is>
      </c>
      <c r="C179" s="32" t="inlineStr">
        <is>
          <t>(425) 327-1136</t>
        </is>
      </c>
      <c r="D179" s="32" t="inlineStr">
        <is>
          <t>No</t>
        </is>
      </c>
      <c r="E179" s="32" t="inlineStr">
        <is>
          <t>N/A</t>
        </is>
      </c>
      <c r="F179" s="32" t="inlineStr">
        <is>
          <t>N/A</t>
        </is>
      </c>
      <c r="G179" s="32" t="n"/>
      <c r="H179" s="32" t="inlineStr">
        <is>
          <t>0</t>
        </is>
      </c>
      <c r="I179" s="33" t="inlineStr">
        <is>
          <t>Hot</t>
        </is>
      </c>
      <c r="J179" s="32" t="inlineStr">
        <is>
          <t>Walter Vincent Cook (L&amp;I principal)</t>
        </is>
      </c>
      <c r="K179" s="32" t="inlineStr">
        <is>
          <t>GOLDMINE T2 (license 2006-10-13). L&amp;I LONGEVITY PATH. UNCLAIMED GMB, zero reviews, Add website/hours prompts. GMB phone matches L&amp;I record. Verify by phone.</t>
        </is>
      </c>
      <c r="L179" s="32" t="inlineStr">
        <is>
          <t>L&amp;I Goldmine triage</t>
        </is>
      </c>
      <c r="M179" s="32" t="inlineStr">
        <is>
          <t>2026-07-02</t>
        </is>
      </c>
      <c r="N179" s="32" t="n"/>
      <c r="O179" s="32" t="n"/>
      <c r="P179" s="32" t="n"/>
    </row>
    <row r="180" ht="58" customHeight="1" s="21">
      <c r="A180" s="32" t="inlineStr">
        <is>
          <t>Spokane Valley</t>
        </is>
      </c>
      <c r="B180" s="32" t="inlineStr">
        <is>
          <t>Zone Mechanical and Electrical</t>
        </is>
      </c>
      <c r="C180" s="32" t="inlineStr">
        <is>
          <t>(509) 389-0811</t>
        </is>
      </c>
      <c r="D180" s="32" t="inlineStr">
        <is>
          <t>Yes</t>
        </is>
      </c>
      <c r="E180" s="32" t="inlineStr">
        <is>
          <t>zonehvac.com</t>
        </is>
      </c>
      <c r="F180" s="32" t="inlineStr">
        <is>
          <t>Not assessed</t>
        </is>
      </c>
      <c r="G180" s="32" t="inlineStr">
        <is>
          <t>5.0</t>
        </is>
      </c>
      <c r="H180" s="32" t="inlineStr">
        <is>
          <t>3</t>
        </is>
      </c>
      <c r="I180" s="44" t="inlineStr">
        <is>
          <t>Watch</t>
        </is>
      </c>
      <c r="J180" s="32" t="n"/>
      <c r="K180" s="32" t="inlineStr">
        <is>
          <t>GOLDMINE T2 (license 2007-02-27). Under review bar (5.0/3), one-man dual-trade shop (Bob - electrical+AC). Site unverified - MANUAL SITE CHECK. Recheck as reviews grow.</t>
        </is>
      </c>
      <c r="L180" s="32" t="inlineStr">
        <is>
          <t>L&amp;I Goldmine triage</t>
        </is>
      </c>
      <c r="M180" s="32" t="inlineStr">
        <is>
          <t>2026-07-02</t>
        </is>
      </c>
      <c r="N180" s="32" t="n"/>
      <c r="O180" s="32" t="n"/>
      <c r="P180" s="32" t="n"/>
    </row>
    <row r="181" ht="43.5" customHeight="1" s="21">
      <c r="A181" s="32" t="inlineStr">
        <is>
          <t>Marysville</t>
        </is>
      </c>
      <c r="B181" s="32" t="inlineStr">
        <is>
          <t>Atmospheric Heating Inc</t>
        </is>
      </c>
      <c r="C181" s="32" t="inlineStr">
        <is>
          <t>(425) 308-0337 (L&amp;I)</t>
        </is>
      </c>
      <c r="D181" s="32" t="inlineStr">
        <is>
          <t>No</t>
        </is>
      </c>
      <c r="E181" s="32" t="inlineStr">
        <is>
          <t>N/A</t>
        </is>
      </c>
      <c r="F181" s="32" t="inlineStr">
        <is>
          <t>N/A</t>
        </is>
      </c>
      <c r="G181" s="32" t="n"/>
      <c r="H181" s="32" t="inlineStr">
        <is>
          <t>0</t>
        </is>
      </c>
      <c r="I181" s="33" t="inlineStr">
        <is>
          <t>Hot</t>
        </is>
      </c>
      <c r="J181" s="32" t="n"/>
      <c r="K181" s="32" t="inlineStr">
        <is>
          <t>GOLDMINE T2 (license 2007-04-20). L&amp;I LONGEVITY PATH. ZERO GMB - Marysville search returns only chains/others. Verify by phone.</t>
        </is>
      </c>
      <c r="L181" s="32" t="inlineStr">
        <is>
          <t>L&amp;I Goldmine triage</t>
        </is>
      </c>
      <c r="M181" s="32" t="inlineStr">
        <is>
          <t>2026-07-02</t>
        </is>
      </c>
      <c r="N181" s="32" t="n"/>
      <c r="O181" s="32" t="n"/>
      <c r="P181" s="32" t="n"/>
    </row>
    <row r="182" ht="43.5" customHeight="1" s="21">
      <c r="A182" s="32" t="inlineStr">
        <is>
          <t>Richland</t>
        </is>
      </c>
      <c r="B182" s="32" t="inlineStr">
        <is>
          <t>Wageman Heating &amp; Cooling</t>
        </is>
      </c>
      <c r="C182" s="32" t="inlineStr">
        <is>
          <t>(509) 438-1102 (L&amp;I)</t>
        </is>
      </c>
      <c r="D182" s="32" t="inlineStr">
        <is>
          <t>No</t>
        </is>
      </c>
      <c r="E182" s="32" t="inlineStr">
        <is>
          <t>N/A</t>
        </is>
      </c>
      <c r="F182" s="32" t="inlineStr">
        <is>
          <t>N/A</t>
        </is>
      </c>
      <c r="G182" s="32" t="n"/>
      <c r="H182" s="32" t="inlineStr">
        <is>
          <t>0</t>
        </is>
      </c>
      <c r="I182" s="33" t="inlineStr">
        <is>
          <t>Hot</t>
        </is>
      </c>
      <c r="J182" s="32" t="n"/>
      <c r="K182" s="32" t="inlineStr">
        <is>
          <t>GOLDMINE T2 (license 2007-08-31). L&amp;I LONGEVITY PATH. ZERO GMB - Tri-Cities search returns only established players. Verify by phone.</t>
        </is>
      </c>
      <c r="L182" s="32" t="inlineStr">
        <is>
          <t>L&amp;I Goldmine triage</t>
        </is>
      </c>
      <c r="M182" s="32" t="inlineStr">
        <is>
          <t>2026-07-02</t>
        </is>
      </c>
      <c r="N182" s="32" t="n"/>
      <c r="O182" s="32" t="n"/>
      <c r="P182" s="32" t="n"/>
    </row>
    <row r="183" ht="43.5" customHeight="1" s="21">
      <c r="A183" s="32" t="inlineStr">
        <is>
          <t>Moses Lake</t>
        </is>
      </c>
      <c r="B183" s="32" t="inlineStr">
        <is>
          <t>Furnace Store Inc</t>
        </is>
      </c>
      <c r="C183" s="32" t="inlineStr">
        <is>
          <t>(509) 766-6400</t>
        </is>
      </c>
      <c r="D183" s="32" t="inlineStr">
        <is>
          <t>Unknown</t>
        </is>
      </c>
      <c r="E183" s="32" t="inlineStr">
        <is>
          <t>Not checked</t>
        </is>
      </c>
      <c r="F183" s="32" t="inlineStr">
        <is>
          <t>Not assessed</t>
        </is>
      </c>
      <c r="G183" s="32" t="inlineStr">
        <is>
          <t>4.1</t>
        </is>
      </c>
      <c r="H183" s="32" t="inlineStr">
        <is>
          <t>9</t>
        </is>
      </c>
      <c r="I183" s="44" t="inlineStr">
        <is>
          <t>Watch</t>
        </is>
      </c>
      <c r="J183" s="32" t="n"/>
      <c r="K183" s="32" t="inlineStr">
        <is>
          <t>GOLDMINE T2 (license 2007-08-13). PASF settle: 4.1/9 (under bar). CAVEAT: retail-sounding name - confirm service vs equipment sales. MANUAL CHECK when revisited.</t>
        </is>
      </c>
      <c r="L183" s="32" t="inlineStr">
        <is>
          <t>L&amp;I Goldmine triage</t>
        </is>
      </c>
      <c r="M183" s="32" t="inlineStr">
        <is>
          <t>2026-07-02</t>
        </is>
      </c>
      <c r="N183" s="32" t="n"/>
      <c r="O183" s="32" t="n"/>
      <c r="P183" s="32" t="n"/>
    </row>
    <row r="184" ht="72.5" customHeight="1" s="21">
      <c r="A184" s="32" t="inlineStr">
        <is>
          <t>Marysville</t>
        </is>
      </c>
      <c r="B184" s="32" t="inlineStr">
        <is>
          <t>Aarden Air Service</t>
        </is>
      </c>
      <c r="C184" s="32" t="inlineStr">
        <is>
          <t>(866) 559-9174</t>
        </is>
      </c>
      <c r="D184" s="32" t="inlineStr">
        <is>
          <t>Yes</t>
        </is>
      </c>
      <c r="E184" s="32" t="inlineStr">
        <is>
          <t>Has website (unverified)</t>
        </is>
      </c>
      <c r="F184" s="32" t="inlineStr">
        <is>
          <t>Not assessed</t>
        </is>
      </c>
      <c r="G184" s="32" t="inlineStr">
        <is>
          <t>5.0</t>
        </is>
      </c>
      <c r="H184" s="32" t="inlineStr">
        <is>
          <t>3</t>
        </is>
      </c>
      <c r="I184" s="44" t="inlineStr">
        <is>
          <t>Watch</t>
        </is>
      </c>
      <c r="J184" s="32" t="n"/>
      <c r="K184" s="32" t="inlineStr">
        <is>
          <t>GOLDMINE T2 (license 2008-05-16). Under bar (5.0/2 + 5.0/1 across DUPLICATE GMB listings - Loveridge-pattern neglect signal). Toll-free number. Site unverified - MANUAL SITE CHECK; dup listings could upgrade this to Warm/Hot on closer look.</t>
        </is>
      </c>
      <c r="L184" s="32" t="inlineStr">
        <is>
          <t>L&amp;I Goldmine triage</t>
        </is>
      </c>
      <c r="M184" s="32" t="inlineStr">
        <is>
          <t>2026-07-02</t>
        </is>
      </c>
      <c r="N184" s="32" t="n"/>
      <c r="O184" s="32" t="n"/>
      <c r="P184" s="32" t="n"/>
    </row>
    <row r="185" ht="58" customHeight="1" s="21">
      <c r="A185" s="32" t="inlineStr">
        <is>
          <t>Walla Walla</t>
        </is>
      </c>
      <c r="B185" s="32" t="inlineStr">
        <is>
          <t>Jim's A Thru Z Refrigeration &amp; Heating</t>
        </is>
      </c>
      <c r="C185" s="32" t="inlineStr">
        <is>
          <t>(509) 520-8392 (L&amp;I)</t>
        </is>
      </c>
      <c r="D185" s="32" t="inlineStr">
        <is>
          <t>No</t>
        </is>
      </c>
      <c r="E185" s="32" t="inlineStr">
        <is>
          <t>N/A</t>
        </is>
      </c>
      <c r="F185" s="32" t="inlineStr">
        <is>
          <t>N/A</t>
        </is>
      </c>
      <c r="G185" s="32" t="n"/>
      <c r="H185" s="32" t="inlineStr">
        <is>
          <t>0</t>
        </is>
      </c>
      <c r="I185" s="33" t="inlineStr">
        <is>
          <t>Hot</t>
        </is>
      </c>
      <c r="J185" s="32" t="n"/>
      <c r="K185" s="32" t="inlineStr">
        <is>
          <t>GOLDMINE T2 (license 2009-03-05). L&amp;I LONGEVITY PATH. ZERO GMB - Walla Walla search returns only established players. First Walla Walla County entry. Verify by phone.</t>
        </is>
      </c>
      <c r="L185" s="32" t="inlineStr">
        <is>
          <t>L&amp;I Goldmine triage</t>
        </is>
      </c>
      <c r="M185" s="32" t="inlineStr">
        <is>
          <t>2026-07-02</t>
        </is>
      </c>
      <c r="N185" s="32" t="n"/>
      <c r="O185" s="32" t="n"/>
      <c r="P185" s="32" t="n"/>
    </row>
    <row r="186" ht="72.5" customHeight="1" s="21">
      <c r="A186" s="32" t="inlineStr">
        <is>
          <t>Enumclaw</t>
        </is>
      </c>
      <c r="B186" s="32" t="inlineStr">
        <is>
          <t>Mountainside Hydronic Heating (was Mountainside Radiant Heating)</t>
        </is>
      </c>
      <c r="C186" s="32" t="inlineStr">
        <is>
          <t>(206) 659-6622</t>
        </is>
      </c>
      <c r="D186" s="32" t="inlineStr">
        <is>
          <t>Yes</t>
        </is>
      </c>
      <c r="E186" s="32" t="inlineStr">
        <is>
          <t>Has website (unverified)</t>
        </is>
      </c>
      <c r="F186" s="32" t="inlineStr">
        <is>
          <t>Not assessed</t>
        </is>
      </c>
      <c r="G186" s="32" t="inlineStr">
        <is>
          <t>5.0</t>
        </is>
      </c>
      <c r="H186" s="32" t="inlineStr">
        <is>
          <t>2</t>
        </is>
      </c>
      <c r="I186" s="44" t="inlineStr">
        <is>
          <t>Watch</t>
        </is>
      </c>
      <c r="J186" s="32" t="n"/>
      <c r="K186" s="32" t="inlineStr">
        <is>
          <t>GOLDMINE T2 (license 2009-04-13). Old "Radiant" GMB is PERMANENTLY CLOSED but a "Hydronic" listing (5.0/2) at same town looks like the rebrand - license still active. Under bar. MANUAL CHECK: confirm same operator + site quality.</t>
        </is>
      </c>
      <c r="L186" s="32" t="inlineStr">
        <is>
          <t>L&amp;I Goldmine triage</t>
        </is>
      </c>
      <c r="M186" s="32" t="inlineStr">
        <is>
          <t>2026-07-02</t>
        </is>
      </c>
      <c r="N186" s="32" t="n"/>
      <c r="O186" s="32" t="n"/>
      <c r="P186" s="32" t="n"/>
    </row>
    <row r="187" ht="43.5" customHeight="1" s="21">
      <c r="A187" s="32" t="inlineStr">
        <is>
          <t>Spokane</t>
        </is>
      </c>
      <c r="B187" s="32" t="inlineStr">
        <is>
          <t>Halo Heating &amp; Air Inc</t>
        </is>
      </c>
      <c r="C187" s="32" t="inlineStr">
        <is>
          <t>(509) 435-1170</t>
        </is>
      </c>
      <c r="D187" s="32" t="inlineStr">
        <is>
          <t>Unknown</t>
        </is>
      </c>
      <c r="E187" s="32" t="inlineStr">
        <is>
          <t>Not checked</t>
        </is>
      </c>
      <c r="F187" s="32" t="inlineStr">
        <is>
          <t>Not assessed</t>
        </is>
      </c>
      <c r="G187" s="32" t="inlineStr">
        <is>
          <t>4.7</t>
        </is>
      </c>
      <c r="H187" s="32" t="inlineStr">
        <is>
          <t>11</t>
        </is>
      </c>
      <c r="I187" s="44" t="inlineStr">
        <is>
          <t>Watch</t>
        </is>
      </c>
      <c r="J187" s="32" t="n"/>
      <c r="K187" s="32" t="inlineStr">
        <is>
          <t>GOLDMINE T2 (license 2008-08-20). PASF settle (from Norco lookup): 4.7/11 - under bar. Site presence unknown - MANUAL CHECK. Recheck as reviews grow.</t>
        </is>
      </c>
      <c r="L187" s="32" t="inlineStr">
        <is>
          <t>L&amp;I Goldmine triage</t>
        </is>
      </c>
      <c r="M187" s="32" t="inlineStr">
        <is>
          <t>2026-07-02</t>
        </is>
      </c>
      <c r="N187" s="32" t="n"/>
      <c r="O187" s="32" t="n"/>
      <c r="P187" s="32" t="n"/>
    </row>
    <row r="188" ht="43.5" customHeight="1" s="21">
      <c r="A188" s="32" t="inlineStr">
        <is>
          <t>Wenatchee</t>
        </is>
      </c>
      <c r="B188" s="32" t="inlineStr">
        <is>
          <t>Heat Me Cool LLC</t>
        </is>
      </c>
      <c r="C188" s="32" t="inlineStr">
        <is>
          <t>(509) 679-8047 (L&amp;I)</t>
        </is>
      </c>
      <c r="D188" s="32" t="inlineStr">
        <is>
          <t>No</t>
        </is>
      </c>
      <c r="E188" s="32" t="inlineStr">
        <is>
          <t>N/A</t>
        </is>
      </c>
      <c r="F188" s="32" t="inlineStr">
        <is>
          <t>N/A</t>
        </is>
      </c>
      <c r="G188" s="32" t="n"/>
      <c r="H188" s="32" t="inlineStr">
        <is>
          <t>0</t>
        </is>
      </c>
      <c r="I188" s="33" t="inlineStr">
        <is>
          <t>Hot</t>
        </is>
      </c>
      <c r="J188" s="32" t="n"/>
      <c r="K188" s="32" t="inlineStr">
        <is>
          <t>GOLDMINE T2 (license 2010-03-22). L&amp;I LONGEVITY PATH. ZERO GMB - Wenatchee search returns only established players. Verify by phone.</t>
        </is>
      </c>
      <c r="L188" s="32" t="inlineStr">
        <is>
          <t>L&amp;I Goldmine triage</t>
        </is>
      </c>
      <c r="M188" s="32" t="inlineStr">
        <is>
          <t>2026-07-02</t>
        </is>
      </c>
      <c r="N188" s="32" t="n"/>
      <c r="O188" s="32" t="n"/>
      <c r="P188" s="32" t="n"/>
    </row>
    <row r="189" ht="72.5" customHeight="1" s="21">
      <c r="A189" s="32" t="inlineStr">
        <is>
          <t>Yakima</t>
        </is>
      </c>
      <c r="B189" s="32" t="inlineStr">
        <is>
          <t>Quality Comfort Htg &amp; Air Cond</t>
        </is>
      </c>
      <c r="C189" s="32" t="inlineStr">
        <is>
          <t>(509) 949-4085 (L&amp;I)</t>
        </is>
      </c>
      <c r="D189" s="32" t="inlineStr">
        <is>
          <t>No</t>
        </is>
      </c>
      <c r="E189" s="32" t="inlineStr">
        <is>
          <t>N/A</t>
        </is>
      </c>
      <c r="F189" s="32" t="inlineStr">
        <is>
          <t>N/A</t>
        </is>
      </c>
      <c r="G189" s="32" t="inlineStr">
        <is>
          <t>4.0</t>
        </is>
      </c>
      <c r="H189" s="32" t="inlineStr">
        <is>
          <t>31</t>
        </is>
      </c>
      <c r="I189" s="33" t="inlineStr">
        <is>
          <t>Hot</t>
        </is>
      </c>
      <c r="J189" s="32" t="n"/>
      <c r="K189" s="32" t="inlineStr">
        <is>
          <t>GOLDMINE T2 (license 2010-05-13). No exact GMB; nearest match is word-scrambled "Comfort Quality Heating &amp; AC inc" (4.0/31, NO website, 425 phone) - possibly same operator. Either way: no-website Hot. Confirm identity on call via L&amp;I number.</t>
        </is>
      </c>
      <c r="L189" s="32" t="inlineStr">
        <is>
          <t>L&amp;I Goldmine triage</t>
        </is>
      </c>
      <c r="M189" s="32" t="inlineStr">
        <is>
          <t>2026-07-02</t>
        </is>
      </c>
      <c r="N189" s="32" t="n"/>
      <c r="O189" s="32" t="n"/>
      <c r="P189" s="32" t="n"/>
    </row>
    <row r="190" ht="58" customHeight="1" s="21">
      <c r="A190" s="32" t="inlineStr">
        <is>
          <t>Selah</t>
        </is>
      </c>
      <c r="B190" s="32" t="inlineStr">
        <is>
          <t>Dave's Heating &amp; Air Conditioning Inc</t>
        </is>
      </c>
      <c r="C190" s="32" t="inlineStr">
        <is>
          <t>(509) 697-8557</t>
        </is>
      </c>
      <c r="D190" s="32" t="inlineStr">
        <is>
          <t>No</t>
        </is>
      </c>
      <c r="E190" s="32" t="inlineStr">
        <is>
          <t>N/A</t>
        </is>
      </c>
      <c r="F190" s="32" t="inlineStr">
        <is>
          <t>N/A</t>
        </is>
      </c>
      <c r="G190" s="32" t="inlineStr">
        <is>
          <t>4.2</t>
        </is>
      </c>
      <c r="H190" s="32" t="inlineStr">
        <is>
          <t>14</t>
        </is>
      </c>
      <c r="I190" s="33" t="inlineStr">
        <is>
          <t>Hot</t>
        </is>
      </c>
      <c r="J190" s="32" t="n"/>
      <c r="K190" s="32" t="inlineStr">
        <is>
          <t>GOLDMINE T2 (license 2010-11-10). L&amp;I LONGEVITY PATH. "Add website" prompt - no website. Father-son shop (Dave &amp; Jake), 4.2/14. Selah was on the never-swept list - first entry. (Distinct from Dave's Port Angeles.)</t>
        </is>
      </c>
      <c r="L190" s="32" t="inlineStr">
        <is>
          <t>L&amp;I Goldmine triage</t>
        </is>
      </c>
      <c r="M190" s="32" t="inlineStr">
        <is>
          <t>2026-07-02</t>
        </is>
      </c>
      <c r="N190" s="32" t="n"/>
      <c r="O190" s="32" t="n"/>
      <c r="P190" s="32" t="n"/>
    </row>
    <row r="191" ht="87" customHeight="1" s="21">
      <c r="A191" s="32" t="inlineStr">
        <is>
          <t>Moses Lake</t>
        </is>
      </c>
      <c r="B191" s="32" t="inlineStr">
        <is>
          <t>Advanced Comfort Systems Inc</t>
        </is>
      </c>
      <c r="C191" s="32" t="inlineStr">
        <is>
          <t>(509) 764-0341</t>
        </is>
      </c>
      <c r="D191" s="32" t="inlineStr">
        <is>
          <t>Yes</t>
        </is>
      </c>
      <c r="E191" s="32" t="inlineStr">
        <is>
          <t>advancedcomfortsystems.org</t>
        </is>
      </c>
      <c r="F191" s="32" t="inlineStr">
        <is>
          <t>Good - modern</t>
        </is>
      </c>
      <c r="G191" s="32" t="inlineStr">
        <is>
          <t>No reviews</t>
        </is>
      </c>
      <c r="H191" s="32" t="inlineStr">
        <is>
          <t>0</t>
        </is>
      </c>
      <c r="I191" s="44" t="inlineStr">
        <is>
          <t>Watch</t>
        </is>
      </c>
      <c r="J191" s="32" t="n"/>
      <c r="K191" s="32" t="inlineStr">
        <is>
          <t>GOLDMINE T2 (license 2010-06-28). Site verified modern (Book Now, BBB A+, family since 2000; slow first paint - looked blank initially, Step 23 caution). BUT GMB is UNCLAIMED with ZERO reviews - strong GMB-optimization pitch angle (invisible on Maps despite 25 yrs + good site).</t>
        </is>
      </c>
      <c r="L191" s="32" t="inlineStr">
        <is>
          <t>L&amp;I Goldmine triage</t>
        </is>
      </c>
      <c r="M191" s="32" t="inlineStr">
        <is>
          <t>2026-07-02</t>
        </is>
      </c>
      <c r="N191" s="32" t="n"/>
      <c r="O191" s="32" t="n"/>
      <c r="P191" s="32" t="n"/>
    </row>
    <row r="192" ht="58" customHeight="1" s="21">
      <c r="A192" s="32" t="inlineStr">
        <is>
          <t>Snohomish</t>
        </is>
      </c>
      <c r="B192" s="32" t="inlineStr">
        <is>
          <t>Eco-Tech Mechanical LLC</t>
        </is>
      </c>
      <c r="C192" s="32" t="inlineStr">
        <is>
          <t>(425) 614-8909 (L&amp;I)</t>
        </is>
      </c>
      <c r="D192" s="32" t="inlineStr">
        <is>
          <t>No</t>
        </is>
      </c>
      <c r="E192" s="32" t="inlineStr">
        <is>
          <t>N/A</t>
        </is>
      </c>
      <c r="F192" s="32" t="inlineStr">
        <is>
          <t>N/A</t>
        </is>
      </c>
      <c r="G192" s="32" t="n"/>
      <c r="H192" s="32" t="inlineStr">
        <is>
          <t>0</t>
        </is>
      </c>
      <c r="I192" s="33" t="inlineStr">
        <is>
          <t>Hot</t>
        </is>
      </c>
      <c r="J192" s="32" t="n"/>
      <c r="K192" s="32" t="inlineStr">
        <is>
          <t>GOLDMINE T2 (license 2011-01-21). L&amp;I LONGEVITY PATH. No exact GMB; nearby "Eco-Mechanical Heat and A/C" (5.0/10, phone-only listing, 425-343-7045) phone does not match L&amp;I record - treat as zero GMB. Verify by phone.</t>
        </is>
      </c>
      <c r="L192" s="32" t="inlineStr">
        <is>
          <t>L&amp;I Goldmine triage</t>
        </is>
      </c>
      <c r="M192" s="32" t="inlineStr">
        <is>
          <t>2026-07-02</t>
        </is>
      </c>
      <c r="N192" s="32" t="n"/>
      <c r="O192" s="32" t="n"/>
      <c r="P192" s="32" t="n"/>
    </row>
    <row r="193" ht="43.5" customHeight="1" s="21">
      <c r="A193" s="32" t="inlineStr">
        <is>
          <t>Walla Walla</t>
        </is>
      </c>
      <c r="B193" s="32" t="inlineStr">
        <is>
          <t>Sure Temp Mechanical LLC</t>
        </is>
      </c>
      <c r="C193" s="32" t="inlineStr">
        <is>
          <t>(509) 522-0089</t>
        </is>
      </c>
      <c r="D193" s="32" t="inlineStr">
        <is>
          <t>No</t>
        </is>
      </c>
      <c r="E193" s="32" t="inlineStr">
        <is>
          <t>N/A</t>
        </is>
      </c>
      <c r="F193" s="32" t="inlineStr">
        <is>
          <t>N/A</t>
        </is>
      </c>
      <c r="G193" s="32" t="inlineStr">
        <is>
          <t>5.0</t>
        </is>
      </c>
      <c r="H193" s="32" t="inlineStr">
        <is>
          <t>2</t>
        </is>
      </c>
      <c r="I193" s="33" t="inlineStr">
        <is>
          <t>Hot</t>
        </is>
      </c>
      <c r="J193" s="32" t="n"/>
      <c r="K193" s="32" t="inlineStr">
        <is>
          <t>GOLDMINE T2 (license 2011-04-12). L&amp;I LONGEVITY PATH. "Add website" prompt - no website. 5.0/2, ductwork craftsmanship praised. Open 24 hours listing.</t>
        </is>
      </c>
      <c r="L193" s="32" t="inlineStr">
        <is>
          <t>L&amp;I Goldmine triage</t>
        </is>
      </c>
      <c r="M193" s="32" t="inlineStr">
        <is>
          <t>2026-07-02</t>
        </is>
      </c>
      <c r="N193" s="32" t="n"/>
      <c r="O193" s="32" t="n"/>
      <c r="P193" s="32" t="n"/>
    </row>
    <row r="194" ht="101.5" customHeight="1" s="21">
      <c r="A194" s="32" t="inlineStr">
        <is>
          <t>Kennewick</t>
        </is>
      </c>
      <c r="B194" s="32" t="inlineStr">
        <is>
          <t>Integrity Three Heating and Air Conditioning</t>
        </is>
      </c>
      <c r="C194" s="32" t="inlineStr">
        <is>
          <t>(509) 380-5474</t>
        </is>
      </c>
      <c r="D194" s="32" t="inlineStr">
        <is>
          <t>Yes</t>
        </is>
      </c>
      <c r="E194" s="32" t="inlineStr">
        <is>
          <t>integrity3.com (http/www ONLY - bare https broken)</t>
        </is>
      </c>
      <c r="F194" s="32" t="inlineStr">
        <is>
          <t>Poor - dated</t>
        </is>
      </c>
      <c r="G194" s="32" t="inlineStr">
        <is>
          <t>4.8</t>
        </is>
      </c>
      <c r="H194" s="32" t="inlineStr">
        <is>
          <t>44</t>
        </is>
      </c>
      <c r="I194" s="34" t="inlineStr">
        <is>
          <t>Warm</t>
        </is>
      </c>
      <c r="J194" s="32" t="n"/>
      <c r="K194" s="32" t="inlineStr">
        <is>
          <t>GOLDMINE T2 (license 2011-05-31). Meets bar (4.8/44). Site verified by screenshot: mid-2000s swoosh clip-art background, tilted polaroid hero, table-style nav, drop-shadow logo (2+ flags) AND https://integrity3.com throws an error page - broken SSL/bare-domain. Founded by 3 techs (Caleb, Nolan, Craig named in reviews). Great reputation, ancient site.</t>
        </is>
      </c>
      <c r="L194" s="32" t="inlineStr">
        <is>
          <t>L&amp;I Goldmine triage</t>
        </is>
      </c>
      <c r="M194" s="32" t="inlineStr">
        <is>
          <t>2026-07-02</t>
        </is>
      </c>
      <c r="N194" s="32" t="n"/>
      <c r="O194" s="32" t="n"/>
      <c r="P194" s="32" t="n"/>
    </row>
    <row r="195" ht="58" customHeight="1" s="21">
      <c r="A195" s="32" t="inlineStr">
        <is>
          <t>Vancouver</t>
        </is>
      </c>
      <c r="B195" s="32" t="inlineStr">
        <is>
          <t>Total Energy Concepts Inc</t>
        </is>
      </c>
      <c r="C195" s="32" t="inlineStr">
        <is>
          <t>(360) 719-1596 / (360) 571-7002</t>
        </is>
      </c>
      <c r="D195" s="32" t="inlineStr">
        <is>
          <t>Yes</t>
        </is>
      </c>
      <c r="E195" s="32" t="inlineStr">
        <is>
          <t>Unknown - dup listing has website link</t>
        </is>
      </c>
      <c r="F195" s="32" t="inlineStr">
        <is>
          <t>Not assessed</t>
        </is>
      </c>
      <c r="G195" s="32" t="inlineStr">
        <is>
          <t>4.1</t>
        </is>
      </c>
      <c r="H195" s="32" t="inlineStr">
        <is>
          <t>9</t>
        </is>
      </c>
      <c r="I195" s="44" t="inlineStr">
        <is>
          <t>Watch</t>
        </is>
      </c>
      <c r="J195" s="32" t="inlineStr">
        <is>
          <t>John W Lower (L&amp;I principal)</t>
        </is>
      </c>
      <c r="K195" s="32" t="inlineStr">
        <is>
          <t>GOLDMINE T3 (license 2000-03-03). TWO GMB listings (no-review one w/ website + 4.1/9 one w/o) - Loveridge dup-listing neglect pattern. Under bar. MANUAL CHECK: consolidate identity + site quality.</t>
        </is>
      </c>
      <c r="L195" s="32" t="inlineStr">
        <is>
          <t>L&amp;I Goldmine triage</t>
        </is>
      </c>
      <c r="M195" s="32" t="inlineStr">
        <is>
          <t>2026-07-02</t>
        </is>
      </c>
      <c r="N195" s="32" t="n"/>
      <c r="O195" s="32" t="n"/>
      <c r="P195" s="32" t="n"/>
    </row>
    <row r="196" ht="43.5" customHeight="1" s="21">
      <c r="A196" s="32" t="inlineStr">
        <is>
          <t>Tacoma</t>
        </is>
      </c>
      <c r="B196" s="32" t="inlineStr">
        <is>
          <t>Wilson's Air Technologies Inc</t>
        </is>
      </c>
      <c r="C196" s="32" t="inlineStr">
        <is>
          <t>(253) 474-9928</t>
        </is>
      </c>
      <c r="D196" s="32" t="inlineStr">
        <is>
          <t>No</t>
        </is>
      </c>
      <c r="E196" s="32" t="inlineStr">
        <is>
          <t>N/A</t>
        </is>
      </c>
      <c r="F196" s="32" t="inlineStr">
        <is>
          <t>N/A</t>
        </is>
      </c>
      <c r="G196" s="32" t="n"/>
      <c r="H196" s="32" t="inlineStr">
        <is>
          <t>0</t>
        </is>
      </c>
      <c r="I196" s="33" t="inlineStr">
        <is>
          <t>Hot</t>
        </is>
      </c>
      <c r="J196" s="32" t="inlineStr">
        <is>
          <t>Douglas M Wilson (L&amp;I principal)</t>
        </is>
      </c>
      <c r="K196" s="32" t="inlineStr">
        <is>
          <t>GOLDMINE T3 (license 2000-05-24). L&amp;I LONGEVITY PATH. ZERO GMB - Tacoma search returns only chains/others. Metro caveat but fully invisible. Verify by phone.</t>
        </is>
      </c>
      <c r="L196" s="32" t="inlineStr">
        <is>
          <t>L&amp;I Goldmine triage</t>
        </is>
      </c>
      <c r="M196" s="32" t="inlineStr">
        <is>
          <t>2026-07-02</t>
        </is>
      </c>
      <c r="N196" s="32" t="n"/>
      <c r="O196" s="32" t="n"/>
      <c r="P196" s="32" t="n"/>
    </row>
    <row r="197" ht="58" customHeight="1" s="21">
      <c r="A197" s="32" t="inlineStr">
        <is>
          <t>Olympia</t>
        </is>
      </c>
      <c r="B197" s="32" t="inlineStr">
        <is>
          <t>Crystal Air Systems</t>
        </is>
      </c>
      <c r="C197" s="32" t="inlineStr">
        <is>
          <t>(360) 357-3335</t>
        </is>
      </c>
      <c r="D197" s="32" t="inlineStr">
        <is>
          <t>No</t>
        </is>
      </c>
      <c r="E197" s="32" t="inlineStr">
        <is>
          <t>N/A</t>
        </is>
      </c>
      <c r="F197" s="32" t="inlineStr">
        <is>
          <t>N/A</t>
        </is>
      </c>
      <c r="G197" s="32" t="n"/>
      <c r="H197" s="32" t="inlineStr">
        <is>
          <t>0</t>
        </is>
      </c>
      <c r="I197" s="33" t="inlineStr">
        <is>
          <t>Hot</t>
        </is>
      </c>
      <c r="J197" s="32" t="inlineStr">
        <is>
          <t>Brian W Clark (L&amp;I principal)</t>
        </is>
      </c>
      <c r="K197" s="32" t="inlineStr">
        <is>
          <t>GOLDMINE T2 (license 2001-12-28). L&amp;I LONGEVITY PATH. ZERO GMB - Olympia search returns only chains. Thurston County = proven hidden-Hot territory (Step 16). Verify by phone.</t>
        </is>
      </c>
      <c r="L197" s="32" t="inlineStr">
        <is>
          <t>L&amp;I Goldmine triage</t>
        </is>
      </c>
      <c r="M197" s="32" t="inlineStr">
        <is>
          <t>2026-07-02</t>
        </is>
      </c>
      <c r="N197" s="32" t="n"/>
      <c r="O197" s="32" t="n"/>
      <c r="P197" s="32" t="n"/>
    </row>
    <row r="198" ht="29" customHeight="1" s="21">
      <c r="A198" s="32" t="inlineStr">
        <is>
          <t>Edmonds</t>
        </is>
      </c>
      <c r="B198" s="32" t="inlineStr">
        <is>
          <t>Air Treatment</t>
        </is>
      </c>
      <c r="C198" s="32" t="inlineStr">
        <is>
          <t>(206) 660-3588</t>
        </is>
      </c>
      <c r="D198" s="32" t="inlineStr">
        <is>
          <t>No</t>
        </is>
      </c>
      <c r="E198" s="32" t="inlineStr">
        <is>
          <t>N/A</t>
        </is>
      </c>
      <c r="F198" s="32" t="inlineStr">
        <is>
          <t>N/A</t>
        </is>
      </c>
      <c r="G198" s="32" t="n"/>
      <c r="H198" s="32" t="inlineStr">
        <is>
          <t>0</t>
        </is>
      </c>
      <c r="I198" s="33" t="inlineStr">
        <is>
          <t>Hot</t>
        </is>
      </c>
      <c r="J198" s="32" t="inlineStr">
        <is>
          <t>George E Caton (L&amp;I principal)</t>
        </is>
      </c>
      <c r="K198" s="32" t="inlineStr">
        <is>
          <t>GOLDMINE T3 (license 2001-11-28). L&amp;I LONGEVITY PATH. ZERO GMB even in saturated Edmonds. Verify by phone.</t>
        </is>
      </c>
      <c r="L198" s="32" t="inlineStr">
        <is>
          <t>L&amp;I Goldmine triage</t>
        </is>
      </c>
      <c r="M198" s="32" t="inlineStr">
        <is>
          <t>2026-07-02</t>
        </is>
      </c>
      <c r="N198" s="32" t="n"/>
      <c r="O198" s="32" t="n"/>
      <c r="P198" s="32" t="n"/>
    </row>
    <row r="199" ht="29" customHeight="1" s="21">
      <c r="A199" s="32" t="inlineStr">
        <is>
          <t>Kirkland</t>
        </is>
      </c>
      <c r="B199" s="32" t="inlineStr">
        <is>
          <t>Metro Air Inc</t>
        </is>
      </c>
      <c r="C199" s="32" t="inlineStr">
        <is>
          <t>(425) 658-7664</t>
        </is>
      </c>
      <c r="D199" s="32" t="inlineStr">
        <is>
          <t>No</t>
        </is>
      </c>
      <c r="E199" s="32" t="inlineStr">
        <is>
          <t>N/A</t>
        </is>
      </c>
      <c r="F199" s="32" t="inlineStr">
        <is>
          <t>N/A</t>
        </is>
      </c>
      <c r="G199" s="32" t="n"/>
      <c r="H199" s="32" t="inlineStr">
        <is>
          <t>0</t>
        </is>
      </c>
      <c r="I199" s="33" t="inlineStr">
        <is>
          <t>Hot</t>
        </is>
      </c>
      <c r="J199" s="32" t="inlineStr">
        <is>
          <t>Ash Hanlon (L&amp;I principal)</t>
        </is>
      </c>
      <c r="K199" s="32" t="inlineStr">
        <is>
          <t>GOLDMINE T3 (license 2001-12-03). L&amp;I LONGEVITY PATH. ZERO GMB even in Kirkland metro. Verify by phone.</t>
        </is>
      </c>
      <c r="L199" s="32" t="inlineStr">
        <is>
          <t>L&amp;I Goldmine triage</t>
        </is>
      </c>
      <c r="M199" s="32" t="inlineStr">
        <is>
          <t>2026-07-02</t>
        </is>
      </c>
      <c r="N199" s="32" t="n"/>
      <c r="O199" s="32" t="n"/>
      <c r="P199" s="32" t="n"/>
    </row>
    <row r="200" ht="58" customHeight="1" s="21">
      <c r="A200" s="32" t="inlineStr">
        <is>
          <t>Lake Forest Park</t>
        </is>
      </c>
      <c r="B200" s="32" t="inlineStr">
        <is>
          <t>Stend-Air Mechanical Services</t>
        </is>
      </c>
      <c r="C200" s="32" t="inlineStr">
        <is>
          <t>(206) 368-0587</t>
        </is>
      </c>
      <c r="D200" s="32" t="inlineStr">
        <is>
          <t>No</t>
        </is>
      </c>
      <c r="E200" s="32" t="inlineStr">
        <is>
          <t>N/A</t>
        </is>
      </c>
      <c r="F200" s="32" t="inlineStr">
        <is>
          <t>N/A</t>
        </is>
      </c>
      <c r="G200" s="32" t="n"/>
      <c r="H200" s="32" t="inlineStr">
        <is>
          <t>0</t>
        </is>
      </c>
      <c r="I200" s="33" t="inlineStr">
        <is>
          <t>Hot</t>
        </is>
      </c>
      <c r="J200" s="32" t="inlineStr">
        <is>
          <t>Kenneth J Stendera (L&amp;I principal)</t>
        </is>
      </c>
      <c r="K200" s="32" t="inlineStr">
        <is>
          <t>GOLDMINE T3 (license 2002-11-25). L&amp;I LONGEVITY PATH. ZERO GMB. NOTE: Stendera family also owns Monroe Heating &amp; Refrigeration (Russell Stendera, already Hot) - possible family intro path between two calls.</t>
        </is>
      </c>
      <c r="L200" s="32" t="inlineStr">
        <is>
          <t>L&amp;I Goldmine triage</t>
        </is>
      </c>
      <c r="M200" s="32" t="inlineStr">
        <is>
          <t>2026-07-02</t>
        </is>
      </c>
      <c r="N200" s="32" t="n"/>
      <c r="O200" s="32" t="n"/>
      <c r="P200" s="32" t="n"/>
    </row>
    <row r="201" ht="43.5" customHeight="1" s="21">
      <c r="A201" s="32" t="inlineStr">
        <is>
          <t>Covington</t>
        </is>
      </c>
      <c r="B201" s="32" t="inlineStr">
        <is>
          <t>Star Home Heating</t>
        </is>
      </c>
      <c r="C201" s="32" t="inlineStr">
        <is>
          <t>(206) 310-2111 (L&amp;I)</t>
        </is>
      </c>
      <c r="D201" s="32" t="inlineStr">
        <is>
          <t>No</t>
        </is>
      </c>
      <c r="E201" s="32" t="inlineStr">
        <is>
          <t>N/A</t>
        </is>
      </c>
      <c r="F201" s="32" t="inlineStr">
        <is>
          <t>N/A</t>
        </is>
      </c>
      <c r="G201" s="32" t="n"/>
      <c r="H201" s="32" t="inlineStr">
        <is>
          <t>0</t>
        </is>
      </c>
      <c r="I201" s="33" t="inlineStr">
        <is>
          <t>Hot</t>
        </is>
      </c>
      <c r="J201" s="32" t="inlineStr">
        <is>
          <t>Raymond Forysiak (L&amp;I principal)</t>
        </is>
      </c>
      <c r="K201" s="32" t="inlineStr">
        <is>
          <t>GOLDMINE T3 (license 2003-11-12). L&amp;I LONGEVITY PATH. ZERO GMB - search returns only unrelated "All Star" companies. Verify by phone.</t>
        </is>
      </c>
      <c r="L201" s="32" t="inlineStr">
        <is>
          <t>L&amp;I Goldmine triage</t>
        </is>
      </c>
      <c r="M201" s="32" t="inlineStr">
        <is>
          <t>2026-07-02</t>
        </is>
      </c>
      <c r="N201" s="32" t="n"/>
      <c r="O201" s="32" t="n"/>
      <c r="P201" s="32" t="n"/>
    </row>
    <row r="202" ht="43.5" customHeight="1" s="21">
      <c r="A202" s="32" t="inlineStr">
        <is>
          <t>Tacoma</t>
        </is>
      </c>
      <c r="B202" s="32" t="inlineStr">
        <is>
          <t>TRS Mechanical</t>
        </is>
      </c>
      <c r="C202" s="32" t="inlineStr">
        <is>
          <t>(253) 539-0141</t>
        </is>
      </c>
      <c r="D202" s="32" t="inlineStr">
        <is>
          <t>Yes</t>
        </is>
      </c>
      <c r="E202" s="32" t="inlineStr">
        <is>
          <t>trsmech.com</t>
        </is>
      </c>
      <c r="F202" s="32" t="inlineStr">
        <is>
          <t>Not assessed</t>
        </is>
      </c>
      <c r="G202" s="32" t="inlineStr">
        <is>
          <t>4.7</t>
        </is>
      </c>
      <c r="H202" s="32" t="inlineStr">
        <is>
          <t>3</t>
        </is>
      </c>
      <c r="I202" s="44" t="inlineStr">
        <is>
          <t>Watch</t>
        </is>
      </c>
      <c r="J202" s="32" t="inlineStr">
        <is>
          <t>Clay Hand (L&amp;I principal)</t>
        </is>
      </c>
      <c r="K202" s="32" t="inlineStr">
        <is>
          <t>GOLDMINE T3 (license 2003-07-09). Under bar (4.7/3). Veteran-owned. Site unverified - MANUAL SITE CHECK. Recheck as reviews grow.</t>
        </is>
      </c>
      <c r="L202" s="32" t="inlineStr">
        <is>
          <t>L&amp;I Goldmine triage</t>
        </is>
      </c>
      <c r="M202" s="32" t="inlineStr">
        <is>
          <t>2026-07-02</t>
        </is>
      </c>
      <c r="N202" s="32" t="n"/>
      <c r="O202" s="32" t="n"/>
      <c r="P202" s="32" t="n"/>
    </row>
    <row r="203" ht="29" customHeight="1" s="21">
      <c r="A203" s="32" t="inlineStr">
        <is>
          <t>Redmond</t>
        </is>
      </c>
      <c r="B203" s="32" t="inlineStr">
        <is>
          <t>DND Services</t>
        </is>
      </c>
      <c r="C203" s="32" t="inlineStr">
        <is>
          <t>(206) 499-7254 (L&amp;I)</t>
        </is>
      </c>
      <c r="D203" s="32" t="inlineStr">
        <is>
          <t>No</t>
        </is>
      </c>
      <c r="E203" s="32" t="inlineStr">
        <is>
          <t>N/A</t>
        </is>
      </c>
      <c r="F203" s="32" t="inlineStr">
        <is>
          <t>N/A</t>
        </is>
      </c>
      <c r="G203" s="32" t="n"/>
      <c r="H203" s="32" t="inlineStr">
        <is>
          <t>0</t>
        </is>
      </c>
      <c r="I203" s="33" t="inlineStr">
        <is>
          <t>Hot</t>
        </is>
      </c>
      <c r="J203" s="32" t="inlineStr">
        <is>
          <t>Darrin D Keith (L&amp;I principal)</t>
        </is>
      </c>
      <c r="K203" s="32" t="inlineStr">
        <is>
          <t>GOLDMINE T3 (license 2004-08-17). L&amp;I LONGEVITY PATH. ZERO GMB. Verify by phone.</t>
        </is>
      </c>
      <c r="L203" s="32" t="inlineStr">
        <is>
          <t>L&amp;I Goldmine triage</t>
        </is>
      </c>
      <c r="M203" s="32" t="inlineStr">
        <is>
          <t>2026-07-02</t>
        </is>
      </c>
      <c r="N203" s="32" t="n"/>
      <c r="O203" s="32" t="n"/>
      <c r="P203" s="32" t="n"/>
    </row>
    <row r="204" ht="58" customHeight="1" s="21">
      <c r="A204" s="32" t="inlineStr">
        <is>
          <t>Vancouver</t>
        </is>
      </c>
      <c r="B204" s="32" t="inlineStr">
        <is>
          <t>D C Htg &amp; Air Conditioning Inc</t>
        </is>
      </c>
      <c r="C204" s="32" t="inlineStr">
        <is>
          <t>(360) 772-1664 (L&amp;I)</t>
        </is>
      </c>
      <c r="D204" s="32" t="inlineStr">
        <is>
          <t>No</t>
        </is>
      </c>
      <c r="E204" s="32" t="inlineStr">
        <is>
          <t>N/A</t>
        </is>
      </c>
      <c r="F204" s="32" t="inlineStr">
        <is>
          <t>N/A</t>
        </is>
      </c>
      <c r="G204" s="32" t="n"/>
      <c r="H204" s="32" t="inlineStr">
        <is>
          <t>0</t>
        </is>
      </c>
      <c r="I204" s="33" t="inlineStr">
        <is>
          <t>Hot</t>
        </is>
      </c>
      <c r="J204" s="32" t="inlineStr">
        <is>
          <t>Angelina Dragut (L&amp;I principal)</t>
        </is>
      </c>
      <c r="K204" s="32" t="inlineStr">
        <is>
          <t>GOLDMINE T3 (license 2005-06-28). L&amp;I LONGEVITY PATH. ZERO matching GMB - only out-of-state DC-named namesakes (408/202 phones) and a Bremerton "Dc Heating llc". Verify identity by phone.</t>
        </is>
      </c>
      <c r="L204" s="32" t="inlineStr">
        <is>
          <t>L&amp;I Goldmine triage</t>
        </is>
      </c>
      <c r="M204" s="32" t="inlineStr">
        <is>
          <t>2026-07-02</t>
        </is>
      </c>
      <c r="N204" s="32" t="n"/>
      <c r="O204" s="32" t="n"/>
      <c r="P204" s="32" t="n"/>
    </row>
    <row r="205" ht="72.5" customHeight="1" s="21">
      <c r="A205" s="32" t="inlineStr">
        <is>
          <t>Tacoma</t>
        </is>
      </c>
      <c r="B205" s="32" t="inlineStr">
        <is>
          <t>South Sound Hydronics LLC (likely = Franich Plumbing Ltd)</t>
        </is>
      </c>
      <c r="C205" s="32" t="inlineStr">
        <is>
          <t>(253) 292-1004 (L&amp;I) / (253) 503-3988 (Franich)</t>
        </is>
      </c>
      <c r="D205" s="32" t="inlineStr">
        <is>
          <t>Partial</t>
        </is>
      </c>
      <c r="E205" s="32" t="inlineStr">
        <is>
          <t>Franich Plumbing has site</t>
        </is>
      </c>
      <c r="F205" s="32" t="inlineStr">
        <is>
          <t>Not assessed</t>
        </is>
      </c>
      <c r="G205" s="32" t="inlineStr">
        <is>
          <t>4.1</t>
        </is>
      </c>
      <c r="H205" s="32" t="inlineStr">
        <is>
          <t>13</t>
        </is>
      </c>
      <c r="I205" s="44" t="inlineStr">
        <is>
          <t>Watch</t>
        </is>
      </c>
      <c r="J205" s="32" t="inlineStr">
        <is>
          <t>Brian T Franich (L&amp;I principal)</t>
        </is>
      </c>
      <c r="K205" s="32" t="inlineStr">
        <is>
          <t>GOLDMINE T3 (license 2005-07-19). Hydronics brand has ZERO GMB; "Franich Plumbing Ltd" (4.1/13, plumber, radiant-heat praise in reviews) = same Franich - dual-identity operator. MANUAL CHECK: confirm relationship + which brand to pitch.</t>
        </is>
      </c>
      <c r="L205" s="32" t="inlineStr">
        <is>
          <t>L&amp;I Goldmine triage</t>
        </is>
      </c>
      <c r="M205" s="32" t="inlineStr">
        <is>
          <t>2026-07-02</t>
        </is>
      </c>
      <c r="N205" s="32" t="n"/>
      <c r="O205" s="32" t="n"/>
      <c r="P205" s="32" t="n"/>
    </row>
    <row r="206" ht="43.5" customHeight="1" s="21">
      <c r="A206" s="32" t="inlineStr">
        <is>
          <t>Vancouver</t>
        </is>
      </c>
      <c r="B206" s="32" t="inlineStr">
        <is>
          <t>Impact Heating &amp; Cooling LLC</t>
        </is>
      </c>
      <c r="C206" s="32" t="inlineStr">
        <is>
          <t>(360) 931-3878</t>
        </is>
      </c>
      <c r="D206" s="32" t="inlineStr">
        <is>
          <t>No</t>
        </is>
      </c>
      <c r="E206" s="32" t="inlineStr">
        <is>
          <t>N/A</t>
        </is>
      </c>
      <c r="F206" s="32" t="inlineStr">
        <is>
          <t>N/A</t>
        </is>
      </c>
      <c r="G206" s="32" t="n"/>
      <c r="H206" s="32" t="inlineStr">
        <is>
          <t>0</t>
        </is>
      </c>
      <c r="I206" s="33" t="inlineStr">
        <is>
          <t>Hot</t>
        </is>
      </c>
      <c r="J206" s="32" t="inlineStr">
        <is>
          <t>Nikolay O Pilat (L&amp;I principal)</t>
        </is>
      </c>
      <c r="K206" s="32" t="inlineStr">
        <is>
          <t>GOLDMINE T3 (license 2005-07-22). L&amp;I LONGEVITY PATH. ZERO WA GMB - Maps falls through to a Colorado namesake. Verify by phone.</t>
        </is>
      </c>
      <c r="L206" s="32" t="inlineStr">
        <is>
          <t>L&amp;I Goldmine triage</t>
        </is>
      </c>
      <c r="M206" s="32" t="inlineStr">
        <is>
          <t>2026-07-02</t>
        </is>
      </c>
      <c r="N206" s="32" t="n"/>
      <c r="O206" s="32" t="n"/>
      <c r="P206" s="32" t="n"/>
    </row>
    <row r="207" ht="72.5" customHeight="1" s="21">
      <c r="A207" s="32" t="inlineStr">
        <is>
          <t>Vancouver</t>
        </is>
      </c>
      <c r="B207" s="32" t="inlineStr">
        <is>
          <t>Air Exchange Inc (possibly rebranded as AirX)</t>
        </is>
      </c>
      <c r="C207" s="32" t="inlineStr">
        <is>
          <t>(360) 852-2940 (L&amp;I) / (360) 718-9100 (AirX)</t>
        </is>
      </c>
      <c r="D207" s="32" t="inlineStr">
        <is>
          <t>Unknown</t>
        </is>
      </c>
      <c r="E207" s="32" t="inlineStr">
        <is>
          <t>airx? - unverified</t>
        </is>
      </c>
      <c r="F207" s="32" t="inlineStr">
        <is>
          <t>Not assessed</t>
        </is>
      </c>
      <c r="G207" s="32" t="inlineStr">
        <is>
          <t>4.6</t>
        </is>
      </c>
      <c r="H207" s="32" t="inlineStr">
        <is>
          <t>10</t>
        </is>
      </c>
      <c r="I207" s="44" t="inlineStr">
        <is>
          <t>Watch</t>
        </is>
      </c>
      <c r="J207" s="32" t="inlineStr">
        <is>
          <t>David Thomas Anderson (L&amp;I principal)</t>
        </is>
      </c>
      <c r="K207" s="32" t="inlineStr">
        <is>
          <t>GOLDMINE T3 (license 2006-08-17). No exact GMB; nearby "AirX" (4.6/10, has site, NE 88th St) may be the rebrand - phones differ. MANUAL CHECK: call L&amp;I number to establish identity; if separate, Air Exchange is a zero-GMB Hot.</t>
        </is>
      </c>
      <c r="L207" s="32" t="inlineStr">
        <is>
          <t>L&amp;I Goldmine triage</t>
        </is>
      </c>
      <c r="M207" s="32" t="inlineStr">
        <is>
          <t>2026-07-02</t>
        </is>
      </c>
      <c r="N207" s="32" t="n"/>
      <c r="O207" s="32" t="n"/>
      <c r="P207" s="32" t="n"/>
    </row>
    <row r="208" ht="43.5" customHeight="1" s="21">
      <c r="A208" s="32" t="inlineStr">
        <is>
          <t>Federal Way</t>
        </is>
      </c>
      <c r="B208" s="32" t="inlineStr">
        <is>
          <t>Patriot Heating &amp; AC</t>
        </is>
      </c>
      <c r="C208" s="32" t="inlineStr">
        <is>
          <t>(253) 631-0601</t>
        </is>
      </c>
      <c r="D208" s="32" t="inlineStr">
        <is>
          <t>Yes</t>
        </is>
      </c>
      <c r="E208" s="32" t="inlineStr">
        <is>
          <t>Has website (unverified)</t>
        </is>
      </c>
      <c r="F208" s="32" t="inlineStr">
        <is>
          <t>Not assessed</t>
        </is>
      </c>
      <c r="G208" s="32" t="inlineStr">
        <is>
          <t>4.7</t>
        </is>
      </c>
      <c r="H208" s="32" t="inlineStr">
        <is>
          <t>25</t>
        </is>
      </c>
      <c r="I208" s="44" t="inlineStr">
        <is>
          <t>Watch</t>
        </is>
      </c>
      <c r="J208" s="32" t="inlineStr">
        <is>
          <t>(check L&amp;I)</t>
        </is>
      </c>
      <c r="K208" s="32" t="inlineStr">
        <is>
          <t>GOLDMINE T3 (license 2007-02-15). MEETS BAR (4.7/25). Site unverified - MANUAL SITE CHECK: if 2+ red flags, upgrade to Warm; if professional, Skip.</t>
        </is>
      </c>
      <c r="L208" s="32" t="inlineStr">
        <is>
          <t>L&amp;I Goldmine triage</t>
        </is>
      </c>
      <c r="M208" s="32" t="inlineStr">
        <is>
          <t>2026-07-02</t>
        </is>
      </c>
      <c r="N208" s="32" t="n"/>
      <c r="O208" s="32" t="n"/>
      <c r="P208" s="32" t="n"/>
    </row>
    <row r="209" ht="29" customHeight="1" s="21">
      <c r="A209" s="32" t="inlineStr">
        <is>
          <t>Seattle</t>
        </is>
      </c>
      <c r="B209" s="32" t="inlineStr">
        <is>
          <t>Pro Heat LLC</t>
        </is>
      </c>
      <c r="C209" s="32" t="inlineStr">
        <is>
          <t>(206) 356-8204 (L&amp;I)</t>
        </is>
      </c>
      <c r="D209" s="32" t="inlineStr">
        <is>
          <t>No</t>
        </is>
      </c>
      <c r="E209" s="32" t="inlineStr">
        <is>
          <t>N/A</t>
        </is>
      </c>
      <c r="F209" s="32" t="inlineStr">
        <is>
          <t>N/A</t>
        </is>
      </c>
      <c r="G209" s="32" t="n"/>
      <c r="H209" s="32" t="inlineStr">
        <is>
          <t>0</t>
        </is>
      </c>
      <c r="I209" s="33" t="inlineStr">
        <is>
          <t>Hot</t>
        </is>
      </c>
      <c r="J209" s="32" t="n"/>
      <c r="K209" s="32" t="inlineStr">
        <is>
          <t>GOLDMINE T3 (license 2007-04-09). L&amp;I LONGEVITY PATH. ZERO GMB. Verify by phone.</t>
        </is>
      </c>
      <c r="L209" s="32" t="inlineStr">
        <is>
          <t>L&amp;I Goldmine triage</t>
        </is>
      </c>
      <c r="M209" s="32" t="inlineStr">
        <is>
          <t>2026-07-02</t>
        </is>
      </c>
      <c r="N209" s="32" t="n"/>
      <c r="O209" s="32" t="n"/>
      <c r="P209" s="32" t="n"/>
    </row>
    <row r="210" ht="58" customHeight="1" s="21">
      <c r="A210" s="32" t="inlineStr">
        <is>
          <t>Burien</t>
        </is>
      </c>
      <c r="B210" s="32" t="inlineStr">
        <is>
          <t>Enviromech</t>
        </is>
      </c>
      <c r="C210" s="32" t="inlineStr">
        <is>
          <t>(206) 762-1960</t>
        </is>
      </c>
      <c r="D210" s="32" t="inlineStr">
        <is>
          <t>Yes</t>
        </is>
      </c>
      <c r="E210" s="32" t="inlineStr">
        <is>
          <t>enviromech.com</t>
        </is>
      </c>
      <c r="F210" s="32" t="inlineStr">
        <is>
          <t>Not assessed</t>
        </is>
      </c>
      <c r="G210" s="32" t="inlineStr">
        <is>
          <t>5.0</t>
        </is>
      </c>
      <c r="H210" s="32" t="inlineStr">
        <is>
          <t>16</t>
        </is>
      </c>
      <c r="I210" s="44" t="inlineStr">
        <is>
          <t>Watch</t>
        </is>
      </c>
      <c r="J210" s="32" t="n"/>
      <c r="K210" s="32" t="inlineStr">
        <is>
          <t>GOLDMINE T3 (license 2007-04-13). UNCLAIMED listing, all reviews 6-7 years old, family-run. Under bar (5.0/16, Burien not small-town). Site unverified - MANUAL SITE CHECK; GMB-neglect angle strong.</t>
        </is>
      </c>
      <c r="L210" s="32" t="inlineStr">
        <is>
          <t>L&amp;I Goldmine triage</t>
        </is>
      </c>
      <c r="M210" s="32" t="inlineStr">
        <is>
          <t>2026-07-02</t>
        </is>
      </c>
      <c r="N210" s="32" t="n"/>
      <c r="O210" s="32" t="n"/>
      <c r="P210" s="32" t="n"/>
    </row>
    <row r="211" ht="29" customHeight="1" s="21">
      <c r="A211" s="32" t="inlineStr">
        <is>
          <t>Battle Ground</t>
        </is>
      </c>
      <c r="B211" s="32" t="inlineStr">
        <is>
          <t>Quick Cool</t>
        </is>
      </c>
      <c r="C211" s="32" t="inlineStr">
        <is>
          <t>(503) 367-7486 (L&amp;I)</t>
        </is>
      </c>
      <c r="D211" s="32" t="inlineStr">
        <is>
          <t>No</t>
        </is>
      </c>
      <c r="E211" s="32" t="inlineStr">
        <is>
          <t>N/A</t>
        </is>
      </c>
      <c r="F211" s="32" t="inlineStr">
        <is>
          <t>N/A</t>
        </is>
      </c>
      <c r="G211" s="32" t="n"/>
      <c r="H211" s="32" t="inlineStr">
        <is>
          <t>0</t>
        </is>
      </c>
      <c r="I211" s="33" t="inlineStr">
        <is>
          <t>Hot</t>
        </is>
      </c>
      <c r="J211" s="32" t="n"/>
      <c r="K211" s="32" t="inlineStr">
        <is>
          <t>GOLDMINE T3 (license 2007-10-19). L&amp;I LONGEVITY PATH. ZERO GMB. Verify by phone.</t>
        </is>
      </c>
      <c r="L211" s="32" t="inlineStr">
        <is>
          <t>L&amp;I Goldmine triage</t>
        </is>
      </c>
      <c r="M211" s="32" t="inlineStr">
        <is>
          <t>2026-07-02</t>
        </is>
      </c>
      <c r="N211" s="32" t="n"/>
      <c r="O211" s="32" t="n"/>
      <c r="P211" s="32" t="n"/>
    </row>
    <row r="212" ht="58" customHeight="1" s="21">
      <c r="A212" s="32" t="inlineStr">
        <is>
          <t>Battle Ground</t>
        </is>
      </c>
      <c r="B212" s="32" t="inlineStr">
        <is>
          <t>Todd's Heating and Cooling</t>
        </is>
      </c>
      <c r="C212" s="32" t="inlineStr">
        <is>
          <t>(360) 624-4881</t>
        </is>
      </c>
      <c r="D212" s="32" t="inlineStr">
        <is>
          <t>No</t>
        </is>
      </c>
      <c r="E212" s="32" t="inlineStr">
        <is>
          <t>N/A</t>
        </is>
      </c>
      <c r="F212" s="32" t="inlineStr">
        <is>
          <t>N/A</t>
        </is>
      </c>
      <c r="G212" s="32" t="inlineStr">
        <is>
          <t>5.0</t>
        </is>
      </c>
      <c r="H212" s="32" t="inlineStr">
        <is>
          <t>45</t>
        </is>
      </c>
      <c r="I212" s="33" t="inlineStr">
        <is>
          <t>Hot</t>
        </is>
      </c>
      <c r="J212" s="32" t="inlineStr">
        <is>
          <t>Todd (owner, named in reviews)</t>
        </is>
      </c>
      <c r="K212" s="32" t="inlineStr">
        <is>
          <t>GOLDMINE T3 (license 2008-05-01). MEETS BAR OUTRIGHT (5.0/45) + NO WEBSITE ("Add website"/"Add hours" prompts). Owner-operated, drives to Portland same-day for parts. Horst-class Hot - top-tier call target.</t>
        </is>
      </c>
      <c r="L212" s="32" t="inlineStr">
        <is>
          <t>L&amp;I Goldmine triage</t>
        </is>
      </c>
      <c r="M212" s="32" t="inlineStr">
        <is>
          <t>2026-07-02</t>
        </is>
      </c>
      <c r="N212" s="32" t="n"/>
      <c r="O212" s="32" t="n"/>
      <c r="P212" s="32" t="n"/>
    </row>
    <row r="213" ht="43.5" customHeight="1" s="21">
      <c r="A213" s="32" t="inlineStr">
        <is>
          <t>Graham</t>
        </is>
      </c>
      <c r="B213" s="32" t="inlineStr">
        <is>
          <t>Total Heating Company LLC</t>
        </is>
      </c>
      <c r="C213" s="32" t="inlineStr">
        <is>
          <t>(253) 380-4503 (L&amp;I)</t>
        </is>
      </c>
      <c r="D213" s="32" t="inlineStr">
        <is>
          <t>No</t>
        </is>
      </c>
      <c r="E213" s="32" t="inlineStr">
        <is>
          <t>N/A</t>
        </is>
      </c>
      <c r="F213" s="32" t="inlineStr">
        <is>
          <t>N/A</t>
        </is>
      </c>
      <c r="G213" s="32" t="n"/>
      <c r="H213" s="32" t="inlineStr">
        <is>
          <t>0</t>
        </is>
      </c>
      <c r="I213" s="33" t="inlineStr">
        <is>
          <t>Hot</t>
        </is>
      </c>
      <c r="J213" s="32" t="n"/>
      <c r="K213" s="32" t="inlineStr">
        <is>
          <t>GOLDMINE T3 (license 2008-07-30). L&amp;I LONGEVITY PATH. ZERO GMB. Graham = rural Pierce (Yelm/Eatonville profile). Verify by phone.</t>
        </is>
      </c>
      <c r="L213" s="32" t="inlineStr">
        <is>
          <t>L&amp;I Goldmine triage</t>
        </is>
      </c>
      <c r="M213" s="32" t="inlineStr">
        <is>
          <t>2026-07-02</t>
        </is>
      </c>
      <c r="N213" s="32" t="n"/>
      <c r="O213" s="32" t="n"/>
      <c r="P213" s="32" t="n"/>
    </row>
    <row r="214" ht="29" customHeight="1" s="21">
      <c r="A214" s="32" t="inlineStr">
        <is>
          <t>Graham</t>
        </is>
      </c>
      <c r="B214" s="32" t="inlineStr">
        <is>
          <t>Southern Heat</t>
        </is>
      </c>
      <c r="C214" s="32" t="inlineStr">
        <is>
          <t>(253) 304-3102 (L&amp;I)</t>
        </is>
      </c>
      <c r="D214" s="32" t="inlineStr">
        <is>
          <t>No</t>
        </is>
      </c>
      <c r="E214" s="32" t="inlineStr">
        <is>
          <t>N/A</t>
        </is>
      </c>
      <c r="F214" s="32" t="inlineStr">
        <is>
          <t>N/A</t>
        </is>
      </c>
      <c r="G214" s="32" t="n"/>
      <c r="H214" s="32" t="inlineStr">
        <is>
          <t>0</t>
        </is>
      </c>
      <c r="I214" s="33" t="inlineStr">
        <is>
          <t>Hot</t>
        </is>
      </c>
      <c r="J214" s="32" t="n"/>
      <c r="K214" s="32" t="inlineStr">
        <is>
          <t>GOLDMINE T3 (license 2009-03-30). L&amp;I LONGEVITY PATH. ZERO GMB. Verify by phone.</t>
        </is>
      </c>
      <c r="L214" s="32" t="inlineStr">
        <is>
          <t>L&amp;I Goldmine triage</t>
        </is>
      </c>
      <c r="M214" s="32" t="inlineStr">
        <is>
          <t>2026-07-02</t>
        </is>
      </c>
      <c r="N214" s="32" t="n"/>
      <c r="O214" s="32" t="n"/>
      <c r="P214" s="32" t="n"/>
    </row>
    <row r="215" ht="43.5" customHeight="1" s="21">
      <c r="A215" s="32" t="inlineStr">
        <is>
          <t>Puyallup</t>
        </is>
      </c>
      <c r="B215" s="32" t="inlineStr">
        <is>
          <t>Newcastle Mechanical</t>
        </is>
      </c>
      <c r="C215" s="32" t="inlineStr">
        <is>
          <t>(253) 503-7390</t>
        </is>
      </c>
      <c r="D215" s="32" t="inlineStr">
        <is>
          <t>Yes</t>
        </is>
      </c>
      <c r="E215" s="32" t="inlineStr">
        <is>
          <t>newcastlemechanical.com</t>
        </is>
      </c>
      <c r="F215" s="32" t="inlineStr">
        <is>
          <t>Not assessed</t>
        </is>
      </c>
      <c r="G215" s="32" t="inlineStr">
        <is>
          <t>5.0</t>
        </is>
      </c>
      <c r="H215" s="32" t="inlineStr">
        <is>
          <t>1</t>
        </is>
      </c>
      <c r="I215" s="44" t="inlineStr">
        <is>
          <t>Watch</t>
        </is>
      </c>
      <c r="J215" s="32" t="n"/>
      <c r="K215" s="32" t="inlineStr">
        <is>
          <t>GOLDMINE T3 (license 2008-09-04). UNCLAIMED, single 10-yr-old review, site unverified - MANUAL CHECK. Mechanical-contractor category may mean commercial.</t>
        </is>
      </c>
      <c r="L215" s="32" t="inlineStr">
        <is>
          <t>L&amp;I Goldmine triage</t>
        </is>
      </c>
      <c r="M215" s="32" t="inlineStr">
        <is>
          <t>2026-07-02</t>
        </is>
      </c>
      <c r="N215" s="32" t="n"/>
      <c r="O215" s="32" t="n"/>
      <c r="P215" s="32" t="n"/>
    </row>
    <row r="216" ht="58" customHeight="1" s="21">
      <c r="A216" s="32" t="inlineStr">
        <is>
          <t>Vancouver</t>
        </is>
      </c>
      <c r="B216" s="32" t="inlineStr">
        <is>
          <t>Independent Heating &amp; Cooling LLC (GMB renamed "Heating &amp; Cooling Vancouver, WA")</t>
        </is>
      </c>
      <c r="C216" s="32" t="inlineStr">
        <is>
          <t>(360) 203-0930</t>
        </is>
      </c>
      <c r="D216" s="32" t="inlineStr">
        <is>
          <t>No</t>
        </is>
      </c>
      <c r="E216" s="32" t="inlineStr">
        <is>
          <t>N/A</t>
        </is>
      </c>
      <c r="F216" s="32" t="inlineStr">
        <is>
          <t>N/A</t>
        </is>
      </c>
      <c r="G216" s="32" t="inlineStr">
        <is>
          <t>5.0</t>
        </is>
      </c>
      <c r="H216" s="32" t="inlineStr">
        <is>
          <t>14</t>
        </is>
      </c>
      <c r="I216" s="33" t="inlineStr">
        <is>
          <t>Hot</t>
        </is>
      </c>
      <c r="J216" s="32" t="inlineStr">
        <is>
          <t>John (owner, named in reviews; earlier Gary)</t>
        </is>
      </c>
      <c r="K216" s="32" t="inlineStr">
        <is>
          <t>GOLDMINE T3 (license 2009-04-01). L&amp;I LONGEVITY PATH. Operating under a GENERIC renamed GMB with "Add website" prompt - no website, 5.0/14, decades-loyal customers per reviews.</t>
        </is>
      </c>
      <c r="L216" s="32" t="inlineStr">
        <is>
          <t>L&amp;I Goldmine triage</t>
        </is>
      </c>
      <c r="M216" s="32" t="inlineStr">
        <is>
          <t>2026-07-02</t>
        </is>
      </c>
      <c r="N216" s="32" t="n"/>
      <c r="O216" s="32" t="n"/>
      <c r="P216" s="32" t="n"/>
    </row>
    <row r="217" ht="43.5" customHeight="1" s="21">
      <c r="A217" s="32" t="inlineStr">
        <is>
          <t>Vancouver</t>
        </is>
      </c>
      <c r="B217" s="32" t="inlineStr">
        <is>
          <t>Air Pro Heating &amp; Cooling LLC</t>
        </is>
      </c>
      <c r="C217" s="32" t="inlineStr">
        <is>
          <t>(564) 208-8010 (L&amp;I)</t>
        </is>
      </c>
      <c r="D217" s="32" t="inlineStr">
        <is>
          <t>No</t>
        </is>
      </c>
      <c r="E217" s="32" t="inlineStr">
        <is>
          <t>N/A</t>
        </is>
      </c>
      <c r="F217" s="32" t="inlineStr">
        <is>
          <t>N/A</t>
        </is>
      </c>
      <c r="G217" s="32" t="n"/>
      <c r="H217" s="32" t="inlineStr">
        <is>
          <t>0</t>
        </is>
      </c>
      <c r="I217" s="33" t="inlineStr">
        <is>
          <t>Hot</t>
        </is>
      </c>
      <c r="J217" s="32" t="n"/>
      <c r="K217" s="32" t="inlineStr">
        <is>
          <t>GOLDMINE T3 (license 2009-06-12). L&amp;I LONGEVITY PATH. ZERO WA GMB - only a Portland OR namesake. Verify by phone.</t>
        </is>
      </c>
      <c r="L217" s="32" t="inlineStr">
        <is>
          <t>L&amp;I Goldmine triage</t>
        </is>
      </c>
      <c r="M217" s="32" t="inlineStr">
        <is>
          <t>2026-07-02</t>
        </is>
      </c>
      <c r="N217" s="32" t="n"/>
      <c r="O217" s="32" t="n"/>
      <c r="P217" s="32" t="n"/>
    </row>
    <row r="218" ht="43.5" customHeight="1" s="21">
      <c r="A218" s="32" t="inlineStr">
        <is>
          <t>Battle Ground</t>
        </is>
      </c>
      <c r="B218" s="32" t="inlineStr">
        <is>
          <t>Albatross HVAC Inc</t>
        </is>
      </c>
      <c r="C218" s="32" t="inlineStr">
        <is>
          <t>(360) 892-0656</t>
        </is>
      </c>
      <c r="D218" s="32" t="inlineStr">
        <is>
          <t>Yes</t>
        </is>
      </c>
      <c r="E218" s="32" t="inlineStr">
        <is>
          <t>Has website (unverified)</t>
        </is>
      </c>
      <c r="F218" s="32" t="inlineStr">
        <is>
          <t>Not assessed</t>
        </is>
      </c>
      <c r="G218" s="32" t="inlineStr">
        <is>
          <t>4.7</t>
        </is>
      </c>
      <c r="H218" s="32" t="inlineStr">
        <is>
          <t>26</t>
        </is>
      </c>
      <c r="I218" s="44" t="inlineStr">
        <is>
          <t>Watch</t>
        </is>
      </c>
      <c r="J218" s="32" t="n"/>
      <c r="K218" s="32" t="inlineStr">
        <is>
          <t>GOLDMINE T3. PASF settle (Todd's lookup): 4.7/26 - MEETS BAR. Site unverified - MANUAL SITE CHECK: upgrade to Warm if 2+ flags, Skip if professional.</t>
        </is>
      </c>
      <c r="L218" s="32" t="inlineStr">
        <is>
          <t>L&amp;I Goldmine triage</t>
        </is>
      </c>
      <c r="M218" s="32" t="inlineStr">
        <is>
          <t>2026-07-02</t>
        </is>
      </c>
      <c r="N218" s="32" t="n"/>
      <c r="O218" s="32" t="n"/>
      <c r="P218" s="32" t="n"/>
    </row>
    <row r="219" ht="43.5" customHeight="1" s="21">
      <c r="A219" s="32" t="inlineStr">
        <is>
          <t>Camas</t>
        </is>
      </c>
      <c r="B219" s="32" t="inlineStr">
        <is>
          <t>AJ Refrigeration And A/C LLC</t>
        </is>
      </c>
      <c r="C219" s="32" t="inlineStr">
        <is>
          <t>(360) 904-0396 (L&amp;I)</t>
        </is>
      </c>
      <c r="D219" s="32" t="inlineStr">
        <is>
          <t>No</t>
        </is>
      </c>
      <c r="E219" s="32" t="inlineStr">
        <is>
          <t>N/A</t>
        </is>
      </c>
      <c r="F219" s="32" t="inlineStr">
        <is>
          <t>N/A</t>
        </is>
      </c>
      <c r="G219" s="32" t="n"/>
      <c r="H219" s="32" t="inlineStr">
        <is>
          <t>0</t>
        </is>
      </c>
      <c r="I219" s="33" t="inlineStr">
        <is>
          <t>Hot</t>
        </is>
      </c>
      <c r="J219" s="32" t="n"/>
      <c r="K219" s="32" t="inlineStr">
        <is>
          <t>GOLDMINE T3 (license 2009-09-01). L&amp;I LONGEVITY PATH. ZERO GMB - Camas search falls to duct cleaner. Refrig-name caveat: confirm consumer HVAC. Verify by phone.</t>
        </is>
      </c>
      <c r="L219" s="32" t="inlineStr">
        <is>
          <t>L&amp;I Goldmine triage</t>
        </is>
      </c>
      <c r="M219" s="32" t="inlineStr">
        <is>
          <t>2026-07-02</t>
        </is>
      </c>
      <c r="N219" s="32" t="n"/>
      <c r="O219" s="32" t="n"/>
      <c r="P219" s="32" t="n"/>
    </row>
    <row r="220" ht="43.5" customHeight="1" s="21">
      <c r="A220" s="32" t="inlineStr">
        <is>
          <t>Des Moines</t>
        </is>
      </c>
      <c r="B220" s="32" t="inlineStr">
        <is>
          <t>Mike's Mechanical</t>
        </is>
      </c>
      <c r="C220" s="32" t="inlineStr">
        <is>
          <t>(206) 391-9839 (L&amp;I)</t>
        </is>
      </c>
      <c r="D220" s="32" t="inlineStr">
        <is>
          <t>No</t>
        </is>
      </c>
      <c r="E220" s="32" t="inlineStr">
        <is>
          <t>N/A</t>
        </is>
      </c>
      <c r="F220" s="32" t="inlineStr">
        <is>
          <t>N/A</t>
        </is>
      </c>
      <c r="G220" s="32" t="n"/>
      <c r="H220" s="32" t="inlineStr">
        <is>
          <t>0</t>
        </is>
      </c>
      <c r="I220" s="33" t="inlineStr">
        <is>
          <t>Hot</t>
        </is>
      </c>
      <c r="J220" s="32" t="n"/>
      <c r="K220" s="32" t="inlineStr">
        <is>
          <t>GOLDMINE T3 (license 2010-04-19). L&amp;I LONGEVITY PATH. ZERO local GMB - only out-of-state namesakes. Generic-name caveat; verify by phone.</t>
        </is>
      </c>
      <c r="L220" s="32" t="inlineStr">
        <is>
          <t>L&amp;I Goldmine triage</t>
        </is>
      </c>
      <c r="M220" s="32" t="inlineStr">
        <is>
          <t>2026-07-02</t>
        </is>
      </c>
      <c r="N220" s="32" t="n"/>
      <c r="O220" s="32" t="n"/>
      <c r="P220" s="32" t="n"/>
    </row>
    <row r="221" ht="43.5" customHeight="1" s="21">
      <c r="A221" s="32" t="inlineStr">
        <is>
          <t>Vancouver</t>
        </is>
      </c>
      <c r="B221" s="32" t="inlineStr">
        <is>
          <t>Reliable Mechanical LLC</t>
        </is>
      </c>
      <c r="C221" s="32" t="inlineStr">
        <is>
          <t>(360) 693-7379</t>
        </is>
      </c>
      <c r="D221" s="32" t="inlineStr">
        <is>
          <t>Yes</t>
        </is>
      </c>
      <c r="E221" s="32" t="inlineStr">
        <is>
          <t>reliablemechanicalnw.com</t>
        </is>
      </c>
      <c r="F221" s="32" t="inlineStr">
        <is>
          <t>Not assessed</t>
        </is>
      </c>
      <c r="G221" s="32" t="inlineStr">
        <is>
          <t>5.0</t>
        </is>
      </c>
      <c r="H221" s="32" t="inlineStr">
        <is>
          <t>1</t>
        </is>
      </c>
      <c r="I221" s="44" t="inlineStr">
        <is>
          <t>Watch</t>
        </is>
      </c>
      <c r="J221" s="32" t="inlineStr">
        <is>
          <t>Dan (named in review)</t>
        </is>
      </c>
      <c r="K221" s="32" t="inlineStr">
        <is>
          <t>GOLDMINE T3 (license 2010-01-13). Single 3-yr-old review, one-man shop. Site unverified - MANUAL CHECK. GMB-neglect angle.</t>
        </is>
      </c>
      <c r="L221" s="32" t="inlineStr">
        <is>
          <t>L&amp;I Goldmine triage</t>
        </is>
      </c>
      <c r="M221" s="32" t="inlineStr">
        <is>
          <t>2026-07-02</t>
        </is>
      </c>
      <c r="N221" s="32" t="n"/>
      <c r="O221" s="32" t="n"/>
      <c r="P221" s="32" t="n"/>
    </row>
    <row r="222" ht="43.5" customHeight="1" s="21">
      <c r="A222" s="32" t="inlineStr">
        <is>
          <t>Tacoma</t>
        </is>
      </c>
      <c r="B222" s="32" t="inlineStr">
        <is>
          <t>Code Mechanical Inc</t>
        </is>
      </c>
      <c r="C222" s="32" t="inlineStr">
        <is>
          <t>(253) 507-4059</t>
        </is>
      </c>
      <c r="D222" s="32" t="inlineStr">
        <is>
          <t>Yes</t>
        </is>
      </c>
      <c r="E222" s="32" t="inlineStr">
        <is>
          <t>Has website (unverified)</t>
        </is>
      </c>
      <c r="F222" s="32" t="inlineStr">
        <is>
          <t>Not assessed</t>
        </is>
      </c>
      <c r="G222" s="32" t="inlineStr">
        <is>
          <t>4.8</t>
        </is>
      </c>
      <c r="H222" s="32" t="inlineStr">
        <is>
          <t>22</t>
        </is>
      </c>
      <c r="I222" s="44" t="inlineStr">
        <is>
          <t>Watch</t>
        </is>
      </c>
      <c r="J222" s="32" t="n"/>
      <c r="K222" s="32" t="inlineStr">
        <is>
          <t>GOLDMINE T3. PASF settle (TRS lookup): 4.8/22 - just under bar. Site unverified - MANUAL CHECK. Recheck as reviews grow.</t>
        </is>
      </c>
      <c r="L222" s="32" t="inlineStr">
        <is>
          <t>L&amp;I Goldmine triage</t>
        </is>
      </c>
      <c r="M222" s="32" t="inlineStr">
        <is>
          <t>2026-07-02</t>
        </is>
      </c>
      <c r="N222" s="32" t="n"/>
      <c r="O222" s="32" t="n"/>
      <c r="P222" s="32" t="n"/>
    </row>
    <row r="223" ht="43.5" customHeight="1" s="21">
      <c r="A223" s="32" t="inlineStr">
        <is>
          <t>Auburn</t>
        </is>
      </c>
      <c r="B223" s="32" t="inlineStr">
        <is>
          <t>Western Mechanical HVAC</t>
        </is>
      </c>
      <c r="C223" s="32" t="inlineStr">
        <is>
          <t>(206) 510-1719 (L&amp;I)</t>
        </is>
      </c>
      <c r="D223" s="32" t="inlineStr">
        <is>
          <t>No</t>
        </is>
      </c>
      <c r="E223" s="32" t="inlineStr">
        <is>
          <t>N/A</t>
        </is>
      </c>
      <c r="F223" s="32" t="inlineStr">
        <is>
          <t>N/A</t>
        </is>
      </c>
      <c r="G223" s="32" t="n"/>
      <c r="H223" s="32" t="inlineStr">
        <is>
          <t>0</t>
        </is>
      </c>
      <c r="I223" s="33" t="inlineStr">
        <is>
          <t>Hot</t>
        </is>
      </c>
      <c r="J223" s="32" t="n"/>
      <c r="K223" s="32" t="inlineStr">
        <is>
          <t>GOLDMINE tail. L&amp;I LONGEVITY PATH. No exact GMB - several unrelated "Western Mechanical" namesakes (controls/plumbers). Verify identity by phone.</t>
        </is>
      </c>
      <c r="L223" s="32" t="inlineStr">
        <is>
          <t>L&amp;I Goldmine triage</t>
        </is>
      </c>
      <c r="M223" s="32" t="inlineStr">
        <is>
          <t>2026-07-02</t>
        </is>
      </c>
      <c r="N223" s="32" t="n"/>
      <c r="O223" s="32" t="n"/>
      <c r="P223" s="32" t="n"/>
    </row>
    <row r="224" ht="29" customHeight="1" s="21">
      <c r="A224" s="32" t="inlineStr">
        <is>
          <t>Seattle</t>
        </is>
      </c>
      <c r="B224" s="32" t="inlineStr">
        <is>
          <t>Comfort Tech Heating &amp; A/C Inc</t>
        </is>
      </c>
      <c r="C224" s="32" t="inlineStr">
        <is>
          <t>(206) 730-0556 (L&amp;I)</t>
        </is>
      </c>
      <c r="D224" s="32" t="inlineStr">
        <is>
          <t>No</t>
        </is>
      </c>
      <c r="E224" s="32" t="inlineStr">
        <is>
          <t>N/A</t>
        </is>
      </c>
      <c r="F224" s="32" t="inlineStr">
        <is>
          <t>N/A</t>
        </is>
      </c>
      <c r="G224" s="32" t="n"/>
      <c r="H224" s="32" t="inlineStr">
        <is>
          <t>0</t>
        </is>
      </c>
      <c r="I224" s="33" t="inlineStr">
        <is>
          <t>Hot</t>
        </is>
      </c>
      <c r="J224" s="32" t="n"/>
      <c r="K224" s="32" t="inlineStr">
        <is>
          <t>GOLDMINE tail (license 2011-02-14). L&amp;I LONGEVITY PATH. ZERO exact GMB. Verify by phone.</t>
        </is>
      </c>
      <c r="L224" s="32" t="inlineStr">
        <is>
          <t>L&amp;I Goldmine triage</t>
        </is>
      </c>
      <c r="M224" s="32" t="inlineStr">
        <is>
          <t>2026-07-02</t>
        </is>
      </c>
      <c r="N224" s="32" t="n"/>
      <c r="O224" s="32" t="n"/>
      <c r="P224" s="32" t="n"/>
    </row>
    <row r="225" ht="58" customHeight="1" s="21">
      <c r="A225" s="32" t="inlineStr">
        <is>
          <t>Puyallup</t>
        </is>
      </c>
      <c r="B225" s="32" t="inlineStr">
        <is>
          <t>Case Heating and A/C LLC</t>
        </is>
      </c>
      <c r="C225" s="32" t="inlineStr">
        <is>
          <t>(206) 930-5501</t>
        </is>
      </c>
      <c r="D225" s="32" t="inlineStr">
        <is>
          <t>Yes</t>
        </is>
      </c>
      <c r="E225" s="32" t="inlineStr">
        <is>
          <t>Has website (unverified)</t>
        </is>
      </c>
      <c r="F225" s="32" t="inlineStr">
        <is>
          <t>Not assessed</t>
        </is>
      </c>
      <c r="G225" s="32" t="inlineStr">
        <is>
          <t>5.0</t>
        </is>
      </c>
      <c r="H225" s="32" t="inlineStr">
        <is>
          <t>16</t>
        </is>
      </c>
      <c r="I225" s="44" t="inlineStr">
        <is>
          <t>Watch</t>
        </is>
      </c>
      <c r="J225" s="32" t="n"/>
      <c r="K225" s="32" t="inlineStr">
        <is>
          <t>GOLDMINE tail (license 2011-06-07). 5.0/16 under bar + DUPLICATE GMB listing (5.0/1 second listing - Loveridge pattern). Site unverified - MANUAL CHECK; dup listing could upgrade.</t>
        </is>
      </c>
      <c r="L225" s="32" t="inlineStr">
        <is>
          <t>L&amp;I Goldmine triage</t>
        </is>
      </c>
      <c r="M225" s="32" t="inlineStr">
        <is>
          <t>2026-07-02</t>
        </is>
      </c>
      <c r="N225" s="32" t="n"/>
      <c r="O225" s="32" t="n"/>
      <c r="P225" s="32" t="n"/>
    </row>
  </sheetData>
  <autoFilter ref="A1:M2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8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6" customWidth="1" style="20" min="1" max="1"/>
    <col width="12" customWidth="1" style="20" min="2" max="2"/>
  </cols>
  <sheetData>
    <row r="1" ht="15" customHeight="1" s="21">
      <c r="A1" s="35" t="inlineStr">
        <is>
          <t>Metric</t>
        </is>
      </c>
      <c r="B1" s="35" t="inlineStr">
        <is>
          <t>Count</t>
        </is>
      </c>
    </row>
    <row r="2" ht="15" customHeight="1" s="21">
      <c r="A2" s="36" t="inlineStr">
        <is>
          <t>Total businesses logged</t>
        </is>
      </c>
      <c r="B2" s="37">
        <f>COUNTA(Prospects!B2:B1000)+COUNTA('Skipped (Reference)'!B2:B1000)</f>
        <v/>
      </c>
    </row>
    <row r="3" ht="15" customHeight="1" s="21">
      <c r="A3" s="36" t="inlineStr">
        <is>
          <t>Hot (no website, 4+ stars, 25+ reviews)</t>
        </is>
      </c>
      <c r="B3" s="37">
        <f>COUNTIF(Prospects!I2:I1000,"Hot")</f>
        <v/>
      </c>
    </row>
    <row r="4" ht="15" customHeight="1" s="21">
      <c r="A4" s="36" t="inlineStr">
        <is>
          <t>Warm (bad/broken website, 4+ stars, 25+ reviews)</t>
        </is>
      </c>
      <c r="B4" s="37">
        <f>COUNTIF(Prospects!I2:I1000,"Warm")</f>
        <v/>
      </c>
    </row>
    <row r="5" ht="15" customHeight="1" s="21">
      <c r="A5" s="36" t="inlineStr">
        <is>
          <t>Watch (close but under review threshold)</t>
        </is>
      </c>
      <c r="B5" s="37">
        <f>COUNTIF(Prospects!I2:I1000,"Watch")</f>
        <v/>
      </c>
    </row>
    <row r="6" ht="15" customHeight="1" s="21">
      <c r="A6" s="36" t="inlineStr">
        <is>
          <t>Skip (moved to reference tab)</t>
        </is>
      </c>
      <c r="B6" s="37">
        <f>COUNTA('Skipped (Reference)'!B2:B1000)</f>
        <v/>
      </c>
    </row>
    <row r="7" ht="15" customHeight="1" s="21">
      <c r="A7" s="36" t="inlineStr">
        <is>
          <t>Arlington businesses logged</t>
        </is>
      </c>
      <c r="B7" s="37">
        <f>COUNTIF(Prospects!A2:A1000,"Arlington")+COUNTIF('Skipped (Reference)'!A2:A1000,"Arlington")</f>
        <v/>
      </c>
    </row>
    <row r="8" ht="15" customHeight="1" s="21">
      <c r="A8" s="36" t="inlineStr">
        <is>
          <t>Marysville businesses logged</t>
        </is>
      </c>
      <c r="B8" s="37">
        <f>COUNTIF(Prospects!A2:A1000,"Marysville")+COUNTIF('Skipped (Reference)'!A2:A1000,"Marysville")</f>
        <v/>
      </c>
    </row>
    <row r="9" ht="15" customHeight="1" s="21">
      <c r="A9" s="36" t="inlineStr">
        <is>
          <t>Stanwood businesses logged</t>
        </is>
      </c>
      <c r="B9" s="37">
        <f>COUNTIF(Prospects!A2:A1000,"Stanwood")+COUNTIF('Skipped (Reference)'!A2:A1000,"Stanwood")</f>
        <v/>
      </c>
    </row>
    <row r="10" ht="15" customHeight="1" s="21">
      <c r="A10" s="36" t="inlineStr">
        <is>
          <t>Mount Vernon businesses logged</t>
        </is>
      </c>
      <c r="B10" s="37">
        <f>COUNTIF(Prospects!A2:A1000,"Mount Vernon")+COUNTIF('Skipped (Reference)'!A2:A1000,"Mount Vernon")</f>
        <v/>
      </c>
    </row>
    <row r="11" ht="15" customHeight="1" s="21">
      <c r="A11" s="36" t="inlineStr">
        <is>
          <t>Everett businesses logged</t>
        </is>
      </c>
      <c r="B11" s="37">
        <f>COUNTIF(Prospects!A2:A1000,"Everett")+COUNTIF('Skipped (Reference)'!A2:A1000,"Everett")</f>
        <v/>
      </c>
    </row>
    <row r="12" ht="15" customHeight="1" s="21">
      <c r="A12" s="36" t="inlineStr">
        <is>
          <t>Lake Stevens businesses logged</t>
        </is>
      </c>
      <c r="B12" s="37">
        <f>COUNTIF(Prospects!A2:A1000,"Lake Stevens")+COUNTIF('Skipped (Reference)'!A2:A1000,"Lake Stevens")</f>
        <v/>
      </c>
    </row>
    <row r="13" ht="15" customHeight="1" s="21">
      <c r="A13" s="36" t="inlineStr">
        <is>
          <t>Snohomish businesses logged</t>
        </is>
      </c>
      <c r="B13" s="37">
        <f>COUNTIF(Prospects!A2:A1000,"Snohomish")+COUNTIF('Skipped (Reference)'!A2:A1000,"Snohomish")</f>
        <v/>
      </c>
    </row>
    <row r="14" ht="15" customHeight="1" s="21">
      <c r="A14" s="36" t="inlineStr">
        <is>
          <t>Lynnwood businesses logged</t>
        </is>
      </c>
      <c r="B14" s="37">
        <f>COUNTIF(Prospects!A2:A1000,"Lynnwood")+COUNTIF('Skipped (Reference)'!A2:A1000,"Lynnwood")</f>
        <v/>
      </c>
    </row>
    <row r="15" ht="15" customHeight="1" s="21">
      <c r="A15" s="36" t="inlineStr">
        <is>
          <t>Edmonds businesses logged</t>
        </is>
      </c>
      <c r="B15" s="37">
        <f>COUNTIF(Prospects!A2:A1000,"Edmonds")+COUNTIF('Skipped (Reference)'!A2:A1000,"Edmonds")</f>
        <v/>
      </c>
    </row>
    <row r="16" ht="15" customHeight="1" s="21">
      <c r="A16" s="36" t="inlineStr">
        <is>
          <t>Monroe businesses logged</t>
        </is>
      </c>
      <c r="B16" s="37">
        <f>COUNTIF(Prospects!A2:A1000,"Monroe")+COUNTIF('Skipped (Reference)'!A2:A1000,"Monroe")</f>
        <v/>
      </c>
    </row>
    <row r="17" ht="15" customHeight="1" s="21">
      <c r="A17" s="36" t="inlineStr">
        <is>
          <t>Sedro-Woolley businesses logged</t>
        </is>
      </c>
      <c r="B17" s="37">
        <f>COUNTIF(Prospects!A2:A1000,"Sedro-Woolley")+COUNTIF('Skipped (Reference)'!A2:A1000,"Sedro-Woolley")</f>
        <v/>
      </c>
    </row>
    <row r="18" ht="15" customHeight="1" s="21">
      <c r="A18" s="36" t="inlineStr">
        <is>
          <t>Oak Harbor businesses logged</t>
        </is>
      </c>
      <c r="B18" s="37">
        <f>COUNTIF(Prospects!A2:A1000,"Oak Harbor")+COUNTIF('Skipped (Reference)'!A2:A1000,"Oak Harbor")</f>
        <v/>
      </c>
    </row>
    <row r="19" ht="15" customHeight="1" s="21">
      <c r="A19" s="36" t="inlineStr">
        <is>
          <t>Sultan businesses logged</t>
        </is>
      </c>
      <c r="B19" s="37">
        <f>COUNTIF(Prospects!A2:A1000,"Sultan")+COUNTIF('Skipped (Reference)'!A2:A1000,"Sultan")</f>
        <v/>
      </c>
    </row>
    <row r="20" ht="15" customHeight="1" s="21">
      <c r="A20" s="36" t="inlineStr">
        <is>
          <t>Camano Island businesses logged</t>
        </is>
      </c>
      <c r="B20" s="37">
        <f>COUNTIF(Prospects!A2:A1000,"Camano Island")+COUNTIF('Skipped (Reference)'!A2:A1000,"Camano Island")</f>
        <v/>
      </c>
    </row>
    <row r="21" ht="15" customHeight="1" s="21">
      <c r="A21" s="36" t="inlineStr">
        <is>
          <t>Anacortes businesses logged</t>
        </is>
      </c>
      <c r="B21" s="37">
        <f>COUNTIF(Prospects!A2:A1000,"Anacortes")+COUNTIF('Skipped (Reference)'!A2:A1000,"Anacortes")</f>
        <v/>
      </c>
    </row>
    <row r="22" ht="15" customHeight="1" s="21">
      <c r="A22" s="36" t="inlineStr">
        <is>
          <t>Mukilteo businesses logged</t>
        </is>
      </c>
      <c r="B22" s="37">
        <f>COUNTIF(Prospects!A2:A1000,"Mukilteo")+COUNTIF('Skipped (Reference)'!A2:A1000,"Mukilteo")</f>
        <v/>
      </c>
    </row>
    <row r="23" ht="15" customHeight="1" s="21">
      <c r="A23" s="36" t="inlineStr">
        <is>
          <t>Bellingham businesses logged</t>
        </is>
      </c>
      <c r="B23" s="37">
        <f>COUNTIF(Prospects!A2:A1000,"Bellingham")+COUNTIF('Skipped (Reference)'!A2:A1000,"Bellingham")</f>
        <v/>
      </c>
    </row>
    <row r="24" ht="15" customHeight="1" s="21">
      <c r="A24" s="20" t="inlineStr">
        <is>
          <t>Bremerton businesses logged</t>
        </is>
      </c>
      <c r="B24" s="20">
        <f>COUNTIF(Prospects!A2:A1000,"Bremerton")+COUNTIF('Skipped (Reference)'!A2:A1000,"Bremerton")</f>
        <v/>
      </c>
    </row>
    <row r="25" ht="15" customHeight="1" s="21">
      <c r="A25" s="20" t="inlineStr">
        <is>
          <t>Port Orchard businesses logged</t>
        </is>
      </c>
      <c r="B25" s="20">
        <f>COUNTIF(Prospects!A2:A1000,"Port Orchard")+COUNTIF('Skipped (Reference)'!A2:A1000,"Port Orchard")</f>
        <v/>
      </c>
    </row>
    <row r="26" ht="15" customHeight="1" s="21">
      <c r="A26" s="20" t="inlineStr">
        <is>
          <t>Poulsbo businesses logged</t>
        </is>
      </c>
      <c r="B26" s="20">
        <f>COUNTIF(Prospects!A2:A1000,"Poulsbo")+COUNTIF('Skipped (Reference)'!A2:A1000,"Poulsbo")</f>
        <v/>
      </c>
    </row>
    <row r="27" ht="15" customHeight="1" s="21">
      <c r="A27" s="20" t="inlineStr">
        <is>
          <t>Silverdale businesses logged</t>
        </is>
      </c>
      <c r="B27" s="20">
        <f>COUNTIF(Prospects!A2:A1000,"Silverdale")+COUNTIF('Skipped (Reference)'!A2:A1000,"Silverdale")</f>
        <v/>
      </c>
    </row>
    <row r="28" ht="15" customHeight="1" s="21">
      <c r="A28" s="20" t="inlineStr">
        <is>
          <t>Ferndale businesses logged</t>
        </is>
      </c>
      <c r="B28" s="20">
        <f>COUNTIF(Prospects!A2:A1000,"Ferndale")+COUNTIF('Skipped (Reference)'!A2:A1000,"Ferndale")</f>
        <v/>
      </c>
    </row>
    <row r="29" ht="15" customHeight="1" s="21">
      <c r="A29" s="20" t="inlineStr">
        <is>
          <t>Lynden businesses logged</t>
        </is>
      </c>
      <c r="B29" s="20">
        <f>COUNTIF(Prospects!A2:A1000,"Lynden")+COUNTIF('Skipped (Reference)'!A2:A1000,"Lynden")</f>
        <v/>
      </c>
    </row>
    <row r="30" ht="15" customHeight="1" s="21">
      <c r="A30" s="20" t="inlineStr">
        <is>
          <t>Blaine businesses logged</t>
        </is>
      </c>
      <c r="B30" s="20">
        <f>COUNTIF(Prospects!A2:A1000,"Blaine")+COUNTIF('Skipped (Reference)'!A2:A1000,"Blaine")</f>
        <v/>
      </c>
    </row>
    <row r="31" ht="15" customHeight="1" s="21">
      <c r="A31" s="20" t="inlineStr">
        <is>
          <t>Puyallup businesses logged</t>
        </is>
      </c>
      <c r="B31" s="20">
        <f>COUNTIF(Prospects!A2:A1000,"Puyallup")+COUNTIF('Skipped (Reference)'!A2:A1000,"Puyallup")</f>
        <v/>
      </c>
    </row>
    <row r="32" ht="15" customHeight="1" s="21">
      <c r="A32" s="20" t="inlineStr">
        <is>
          <t>Yelm businesses logged</t>
        </is>
      </c>
      <c r="B32" s="20">
        <f>COUNTIF(Prospects!A2:A1000,"Yelm")+COUNTIF('Skipped (Reference)'!A2:A1000,"Yelm")</f>
        <v/>
      </c>
    </row>
    <row r="33" ht="15" customHeight="1" s="21">
      <c r="A33" s="20" t="inlineStr">
        <is>
          <t>Orting businesses logged</t>
        </is>
      </c>
      <c r="B33" s="20">
        <f>COUNTIF(Prospects!A2:A1000,"Orting")+COUNTIF('Skipped (Reference)'!A2:A1000,"Orting")</f>
        <v/>
      </c>
    </row>
    <row r="34" ht="15" customHeight="1" s="21">
      <c r="A34" s="20" t="inlineStr">
        <is>
          <t>Eatonville businesses logged</t>
        </is>
      </c>
      <c r="B34" s="20">
        <f>COUNTIF(Prospects!A2:A1000,"Eatonville")+COUNTIF('Skipped (Reference)'!A2:A1000,"Eatonville")</f>
        <v/>
      </c>
    </row>
    <row r="35" ht="15" customHeight="1" s="21">
      <c r="A35" s="20" t="inlineStr">
        <is>
          <t>Buckley businesses logged</t>
        </is>
      </c>
      <c r="B35" s="20">
        <f>COUNTIF(Prospects!A2:A1000,"Buckley")+COUNTIF('Skipped (Reference)'!A2:A1000,"Buckley")</f>
        <v/>
      </c>
    </row>
    <row r="36" ht="15" customHeight="1" s="21">
      <c r="A36" s="20" t="inlineStr">
        <is>
          <t>Port Angeles businesses logged</t>
        </is>
      </c>
      <c r="B36" s="20">
        <f>COUNTIF(Prospects!A2:A1000,"Port Angeles")+COUNTIF('Skipped (Reference)'!A2:A1000,"Port Angeles")</f>
        <v/>
      </c>
    </row>
    <row r="37" ht="15" customHeight="1" s="21">
      <c r="A37" s="20" t="inlineStr">
        <is>
          <t>Sequim businesses logged</t>
        </is>
      </c>
      <c r="B37" s="20">
        <f>COUNTIF(Prospects!A2:A1000,"Sequim")+COUNTIF('Skipped (Reference)'!A2:A1000,"Sequim")</f>
        <v/>
      </c>
    </row>
    <row r="38" ht="15" customHeight="1" s="21">
      <c r="A38" s="20" t="inlineStr">
        <is>
          <t>Port Townsend businesses logged</t>
        </is>
      </c>
      <c r="B38" s="20">
        <f>COUNTIF(Prospects!A2:A1000,"Port Townsend")+COUNTIF('Skipped (Reference)'!A2:A1000,"Port Townsend")</f>
        <v/>
      </c>
    </row>
    <row r="39" ht="15" customHeight="1" s="21">
      <c r="A39" s="20" t="inlineStr">
        <is>
          <t>Everson businesses logged</t>
        </is>
      </c>
      <c r="B39" s="20">
        <f>COUNTIF(Prospects!A2:A1000,"Everson")+COUNTIF('Skipped (Reference)'!A2:A1000,"Everson")</f>
        <v/>
      </c>
    </row>
    <row r="40" ht="15" customHeight="1" s="21">
      <c r="A40" s="20" t="inlineStr">
        <is>
          <t>Nooksack businesses logged</t>
        </is>
      </c>
      <c r="B40" s="20">
        <f>COUNTIF(Prospects!A2:A1000,"Nooksack")+COUNTIF('Skipped (Reference)'!A2:A1000,"Nooksack")</f>
        <v/>
      </c>
    </row>
    <row r="41" ht="15" customHeight="1" s="21">
      <c r="A41" s="20" t="inlineStr">
        <is>
          <t>Deming businesses logged</t>
        </is>
      </c>
      <c r="B41" s="20">
        <f>COUNTIF(Prospects!A2:A1000,"Deming")+COUNTIF('Skipped (Reference)'!A2:A1000,"Deming")</f>
        <v/>
      </c>
    </row>
    <row r="42" ht="15" customHeight="1" s="21">
      <c r="A42" s="20" t="inlineStr">
        <is>
          <t>Concrete businesses logged</t>
        </is>
      </c>
      <c r="B42" s="20">
        <f>COUNTIF(Prospects!A2:A1000,"Concrete")+COUNTIF('Skipped (Reference)'!A2:A1000,"Concrete")</f>
        <v/>
      </c>
    </row>
    <row r="43" ht="15" customHeight="1" s="21">
      <c r="A43" s="20" t="inlineStr">
        <is>
          <t>Aberdeen businesses logged</t>
        </is>
      </c>
      <c r="B43" s="20">
        <f>COUNTIF(Prospects!A2:A1000,"Aberdeen")+COUNTIF('Skipped (Reference)'!A2:A1000,"Aberdeen")</f>
        <v/>
      </c>
    </row>
    <row r="44" ht="15" customHeight="1" s="21">
      <c r="A44" s="20" t="inlineStr">
        <is>
          <t>Hoquiam businesses logged</t>
        </is>
      </c>
      <c r="B44" s="20">
        <f>COUNTIF(Prospects!A2:A1000,"Hoquiam")+COUNTIF('Skipped (Reference)'!A2:A1000,"Hoquiam")</f>
        <v/>
      </c>
    </row>
    <row r="45" ht="15" customHeight="1" s="21">
      <c r="A45" s="20" t="inlineStr">
        <is>
          <t>Montesano businesses logged</t>
        </is>
      </c>
      <c r="B45" s="20">
        <f>COUNTIF(Prospects!A2:A1000,"Montesano")+COUNTIF('Skipped (Reference)'!A2:A1000,"Montesano")</f>
        <v/>
      </c>
    </row>
    <row r="46" ht="15" customHeight="1" s="21">
      <c r="A46" s="20" t="inlineStr">
        <is>
          <t>Chehalis businesses logged</t>
        </is>
      </c>
      <c r="B46" s="20">
        <f>COUNTIF(Prospects!A2:A1000,"Chehalis")+COUNTIF('Skipped (Reference)'!A2:A1000,"Chehalis")</f>
        <v/>
      </c>
    </row>
    <row r="47" ht="15" customHeight="1" s="21">
      <c r="A47" s="20" t="inlineStr">
        <is>
          <t>Centralia businesses logged</t>
        </is>
      </c>
      <c r="B47" s="20">
        <f>COUNTIF(Prospects!A2:A1000,"Centralia")+COUNTIF('Skipped (Reference)'!A2:A1000,"Centralia")</f>
        <v/>
      </c>
    </row>
    <row r="48" ht="15" customHeight="1" s="21">
      <c r="A48" s="20" t="inlineStr">
        <is>
          <t>Olympia businesses logged</t>
        </is>
      </c>
      <c r="B48" s="20">
        <f>COUNTIF(Prospects!A2:A1000,"Olympia")+COUNTIF('Skipped (Reference)'!A2:A1000,"Olympia")</f>
        <v/>
      </c>
    </row>
    <row r="49" ht="15" customHeight="1" s="21">
      <c r="A49" s="20" t="inlineStr">
        <is>
          <t>Lacey businesses logged</t>
        </is>
      </c>
      <c r="B49" s="20">
        <f>COUNTIF(Prospects!A2:A1000,"Lacey")+COUNTIF('Skipped (Reference)'!A2:A1000,"Lacey")</f>
        <v/>
      </c>
    </row>
    <row r="50" ht="15" customHeight="1" s="21">
      <c r="A50" s="20" t="inlineStr">
        <is>
          <t>Tumwater businesses logged</t>
        </is>
      </c>
      <c r="B50" s="20">
        <f>COUNTIF(Prospects!A2:A1000,"Tumwater")+COUNTIF('Skipped (Reference)'!A2:A1000,"Tumwater")</f>
        <v/>
      </c>
    </row>
    <row r="51" ht="15" customHeight="1" s="21">
      <c r="A51" s="20" t="inlineStr">
        <is>
          <t>Raymond businesses logged</t>
        </is>
      </c>
      <c r="B51" s="20">
        <f>COUNTIF(Prospects!A2:A1000,"Raymond")+COUNTIF('Skipped (Reference)'!A2:A1000,"Raymond")</f>
        <v/>
      </c>
    </row>
    <row r="52" ht="15" customHeight="1" s="21">
      <c r="A52" s="20" t="inlineStr">
        <is>
          <t>Long Beach businesses logged</t>
        </is>
      </c>
      <c r="B52" s="20">
        <f>COUNTIF(Prospects!A2:A1000,"Long Beach")+COUNTIF('Skipped (Reference)'!A2:A1000,"Long Beach")</f>
        <v/>
      </c>
    </row>
    <row r="53" ht="15" customHeight="1" s="21">
      <c r="A53" s="20" t="inlineStr">
        <is>
          <t>Enumclaw businesses logged</t>
        </is>
      </c>
      <c r="B53" s="20">
        <f>COUNTIF(Prospects!A2:A1000,"Enumclaw")+COUNTIF('Skipped (Reference)'!A2:A1000,"Enumclaw")</f>
        <v/>
      </c>
    </row>
    <row r="54" ht="15" customHeight="1" s="21">
      <c r="A54" s="20" t="inlineStr">
        <is>
          <t>Elma businesses logged</t>
        </is>
      </c>
      <c r="B54" s="20">
        <f>COUNTIF(Prospects!A2:A1000,"Elma")+COUNTIF('Skipped (Reference)'!A2:A1000,"Elma")</f>
        <v/>
      </c>
    </row>
    <row r="55" ht="15" customHeight="1" s="21">
      <c r="A55" s="20" t="inlineStr">
        <is>
          <t>McCleary businesses logged</t>
        </is>
      </c>
      <c r="B55" s="20">
        <f>COUNTIF(Prospects!A2:A1000,"McCleary")+COUNTIF('Skipped (Reference)'!A2:A1000,"McCleary")</f>
        <v/>
      </c>
    </row>
    <row r="56" ht="15" customHeight="1" s="21">
      <c r="A56" s="20" t="inlineStr">
        <is>
          <t>Westport businesses logged</t>
        </is>
      </c>
      <c r="B56" s="20">
        <f>COUNTIF(Prospects!A2:A1000,"Westport")+COUNTIF('Skipped (Reference)'!A2:A1000,"Westport")</f>
        <v/>
      </c>
    </row>
    <row r="57" ht="15" customHeight="1" s="21">
      <c r="A57" s="20" t="inlineStr">
        <is>
          <t>South Bend businesses logged</t>
        </is>
      </c>
      <c r="B57" s="20">
        <f>COUNTIF(Prospects!A2:A1000,"South Bend")+COUNTIF('Skipped (Reference)'!A2:A1000,"South Bend")</f>
        <v/>
      </c>
    </row>
    <row r="58" ht="15" customHeight="1" s="21">
      <c r="A58" s="20" t="inlineStr">
        <is>
          <t>Ellensburg businesses logged</t>
        </is>
      </c>
      <c r="B58" s="20">
        <f>COUNTIF(Prospects!A2:A1000,"Ellensburg")+COUNTIF('Skipped (Reference)'!A2:A1000,"Ellensburg")</f>
        <v/>
      </c>
    </row>
    <row r="59" ht="15" customHeight="1" s="21">
      <c r="A59" s="20" t="inlineStr">
        <is>
          <t>Cle Elum businesses logged</t>
        </is>
      </c>
      <c r="B59" s="20">
        <f>COUNTIF(Prospects!A2:A1000,"Cle Elum")+COUNTIF('Skipped (Reference)'!A2:A1000,"Cle Elum")</f>
        <v/>
      </c>
    </row>
    <row r="60" ht="15" customHeight="1" s="21">
      <c r="A60" s="20" t="inlineStr">
        <is>
          <t>Wenatchee businesses logged</t>
        </is>
      </c>
      <c r="B60" s="20">
        <f>COUNTIF(Prospects!A2:A1000,"Wenatchee")+COUNTIF('Skipped (Reference)'!A2:A1000,"Wenatchee")</f>
        <v/>
      </c>
    </row>
    <row r="61" ht="15" customHeight="1" s="21">
      <c r="A61" s="20" t="inlineStr">
        <is>
          <t>East Wenatchee businesses logged</t>
        </is>
      </c>
      <c r="B61" s="20">
        <f>COUNTIF(Prospects!A2:A1000,"East Wenatchee")+COUNTIF('Skipped (Reference)'!A2:A1000,"East Wenatchee")</f>
        <v/>
      </c>
    </row>
    <row r="62" ht="15" customHeight="1" s="21">
      <c r="A62" s="20" t="inlineStr">
        <is>
          <t>Sunnyside businesses logged</t>
        </is>
      </c>
      <c r="B62" s="20">
        <f>COUNTIF(Prospects!A2:A1000,"Sunnyside")+COUNTIF('Skipped (Reference)'!A2:A1000,"Sunnyside")</f>
        <v/>
      </c>
    </row>
    <row r="63" ht="15" customHeight="1" s="21">
      <c r="A63" s="20" t="inlineStr">
        <is>
          <t>Toppenish businesses logged</t>
        </is>
      </c>
      <c r="B63" s="20">
        <f>COUNTIF(Prospects!A2:A1000,"Toppenish")+COUNTIF('Skipped (Reference)'!A2:A1000,"Toppenish")</f>
        <v/>
      </c>
    </row>
    <row r="64" ht="15" customHeight="1" s="21">
      <c r="A64" s="20" t="inlineStr">
        <is>
          <t>Zillah businesses logged</t>
        </is>
      </c>
      <c r="B64" s="20">
        <f>COUNTIF(Prospects!A2:A1000,"Zillah")+COUNTIF('Skipped (Reference)'!A2:A1000,"Zillah")</f>
        <v/>
      </c>
    </row>
    <row r="65" ht="15" customHeight="1" s="21">
      <c r="A65" s="20" t="inlineStr">
        <is>
          <t>Yakima businesses logged</t>
        </is>
      </c>
      <c r="B65" s="20">
        <f>COUNTIF(Prospects!A2:A1000,"Yakima")+COUNTIF('Skipped (Reference)'!A2:A1000,"Yakima")</f>
        <v/>
      </c>
    </row>
    <row r="66" ht="15" customHeight="1" s="21">
      <c r="A66" s="38" t="n"/>
    </row>
    <row r="67" ht="15" customHeight="1" s="21">
      <c r="A67" s="39" t="inlineStr">
        <is>
          <t>How to use this tracker</t>
        </is>
      </c>
    </row>
    <row r="68" ht="15" customHeight="1" s="21">
      <c r="A68" s="38" t="inlineStr">
        <is>
          <t>Prospects tab: every real outreach target (Hot/Warm/Watch), one row each.</t>
        </is>
      </c>
    </row>
    <row r="69" ht="15" customHeight="1" s="21">
      <c r="A69" s="38" t="inlineStr">
        <is>
          <t>Skipped (Reference) tab: businesses already checked that don't need outreach right now.</t>
        </is>
      </c>
    </row>
    <row r="70" ht="15" customHeight="1" s="21">
      <c r="A70" s="38" t="inlineStr">
        <is>
          <t>Flag column: Hot = no real working website + 4+ stars + 25+ reviews (best cold-call targets).</t>
        </is>
      </c>
    </row>
    <row r="71" ht="15" customHeight="1" s="21">
      <c r="A71" s="38" t="inlineStr">
        <is>
          <t xml:space="preserve">  Warm = bad/outdated/broken website + 4+ stars + 25+ reviews (good redesign pitch).</t>
        </is>
      </c>
    </row>
    <row r="72" ht="15" customHeight="1" s="21">
      <c r="A72" s="38" t="inlineStr">
        <is>
          <t xml:space="preserve">  Watch = meets quality bar but under 25 reviews - recheck as they grow.</t>
        </is>
      </c>
    </row>
    <row r="73" ht="15" customHeight="1" s="21">
      <c r="A73" s="38" t="inlineStr">
        <is>
          <t>See research-playbook.md in this folder for the full methodology (domain verification steps,</t>
        </is>
      </c>
    </row>
    <row r="74" ht="15" customHeight="1" s="21">
      <c r="A74" s="38" t="inlineStr">
        <is>
          <t xml:space="preserve">  red-flag checklist, hub-town vs satellite-town logic).</t>
        </is>
      </c>
    </row>
    <row r="75" ht="15" customHeight="1" s="21">
      <c r="A75" s="38" t="inlineStr">
        <is>
          <t>Confirmed satellite clusters (no independent market, served by nearby hub - don't search directly):</t>
        </is>
      </c>
    </row>
    <row r="76" ht="15" customHeight="1" s="21">
      <c r="A76" s="38" t="inlineStr">
        <is>
          <t xml:space="preserve">  Burlington/Granite Falls/Darrington/Gold Bar/Camano Island, and South Whidbey (Freeland/Langley/</t>
        </is>
      </c>
    </row>
    <row r="77" ht="15" customHeight="1" s="21">
      <c r="A77" s="38" t="inlineStr">
        <is>
          <t xml:space="preserve">  Coupeville, served by Oak Harbor's Island Heating &amp; A&amp;R HVAC), and Whatcom/Skagit Mt Baker Hwy</t>
        </is>
      </c>
    </row>
    <row r="78" ht="15" customHeight="1" s="21">
      <c r="A78" s="20" t="inlineStr">
        <is>
          <t xml:space="preserve">  corridor towns (Concrete, Everson, Nooksack, Deming - served by Ferndale/Lynden/Bellingham/Sedro-Woolley).</t>
        </is>
      </c>
    </row>
    <row r="79" ht="15" customHeight="1" s="21">
      <c r="A79" s="20" t="inlineStr">
        <is>
          <t xml:space="preserve">  Round 9 additions: Westport and South Bend (satellites of Aberdeen/Raymond), Ocean Shores (ShoresAir home base, otherwise Aberdeen-metro coverage).</t>
        </is>
      </c>
    </row>
    <row r="80" ht="15" customHeight="1" s="21">
      <c r="A80" s="38" t="inlineStr">
        <is>
          <t>Confirmed low-yield / saturated markets (large chains dominate, expect mostly Skip): Lynnwood,</t>
        </is>
      </c>
    </row>
    <row r="81" ht="15" customHeight="1" s="21">
      <c r="A81" s="38" t="inlineStr">
        <is>
          <t xml:space="preserve">  Edmonds, Mukilteo, Bellingham, Kitsap Peninsula (Bremerton/Port Orchard/Poulsbo/Silverdale),</t>
        </is>
      </c>
    </row>
    <row r="82" ht="15" customHeight="1" s="21">
      <c r="A82" s="20" t="inlineStr">
        <is>
          <t xml:space="preserve">  Puyallup, Orting, Port Townsend, and Olympia (Thurston County core, though outlying Tumwater/Lacey</t>
        </is>
      </c>
    </row>
    <row r="83" ht="15" customHeight="1" s="21">
      <c r="A83" s="20" t="inlineStr">
        <is>
          <t xml:space="preserve">  still yielded 3 Hot finds - see Round 7 learnings in research-playbook.md).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3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0" customWidth="1" style="20" min="1" max="1"/>
    <col width="38" customWidth="1" style="20" min="2" max="2"/>
    <col width="16" customWidth="1" style="20" min="3" max="3"/>
    <col width="12" customWidth="1" style="20" min="4" max="4"/>
    <col width="24" customWidth="1" style="20" min="5" max="5"/>
    <col width="22" customWidth="1" style="20" min="6" max="6"/>
    <col width="10" customWidth="1" style="20" min="7" max="7"/>
    <col width="12" customWidth="1" style="20" min="8" max="8"/>
    <col width="9" customWidth="1" style="20" min="9" max="9"/>
    <col width="22" customWidth="1" style="20" min="10" max="10"/>
    <col width="55" customWidth="1" style="20" min="11" max="11"/>
    <col width="26" customWidth="1" style="20" min="12" max="12"/>
    <col width="13" customWidth="1" style="20" min="13" max="13"/>
  </cols>
  <sheetData>
    <row r="1" ht="30" customHeight="1" s="21">
      <c r="A1" s="22" t="inlineStr">
        <is>
          <t>City</t>
        </is>
      </c>
      <c r="B1" s="22" t="inlineStr">
        <is>
          <t>Business Name</t>
        </is>
      </c>
      <c r="C1" s="22" t="inlineStr">
        <is>
          <t>Phone</t>
        </is>
      </c>
      <c r="D1" s="22" t="inlineStr">
        <is>
          <t>Has Website</t>
        </is>
      </c>
      <c r="E1" s="22" t="inlineStr">
        <is>
          <t>Website URL</t>
        </is>
      </c>
      <c r="F1" s="22" t="inlineStr">
        <is>
          <t>Website Quality</t>
        </is>
      </c>
      <c r="G1" s="22" t="inlineStr">
        <is>
          <t>Google Rating</t>
        </is>
      </c>
      <c r="H1" s="22" t="inlineStr">
        <is>
          <t>Review Count</t>
        </is>
      </c>
      <c r="I1" s="22" t="inlineStr">
        <is>
          <t>Flag</t>
        </is>
      </c>
      <c r="J1" s="22" t="inlineStr">
        <is>
          <t>Owner Name</t>
        </is>
      </c>
      <c r="K1" s="22" t="inlineStr">
        <is>
          <t>Notes</t>
        </is>
      </c>
      <c r="L1" s="22" t="inlineStr">
        <is>
          <t>Source</t>
        </is>
      </c>
      <c r="M1" s="22" t="inlineStr">
        <is>
          <t>Date Found</t>
        </is>
      </c>
    </row>
    <row r="2" ht="43.5" customHeight="1" s="21">
      <c r="A2" s="24" t="inlineStr">
        <is>
          <t>Arlington</t>
        </is>
      </c>
      <c r="B2" s="24" t="inlineStr">
        <is>
          <t>Ronk Brothers Heating, Cooling, and Electrical</t>
        </is>
      </c>
      <c r="C2" s="24" t="inlineStr">
        <is>
          <t>(360) 325-4416</t>
        </is>
      </c>
      <c r="D2" s="24" t="inlineStr">
        <is>
          <t>Yes</t>
        </is>
      </c>
      <c r="E2" s="24" t="inlineStr">
        <is>
          <t>ronkheating.com</t>
        </is>
      </c>
      <c r="F2" s="24" t="inlineStr">
        <is>
          <t>Professional</t>
        </is>
      </c>
      <c r="G2" s="24" t="n">
        <v>4.9</v>
      </c>
      <c r="H2" s="24" t="n">
        <v>948</v>
      </c>
      <c r="I2" s="40" t="inlineStr">
        <is>
          <t>Skip</t>
        </is>
      </c>
      <c r="J2" s="24" t="n"/>
      <c r="K2" s="24" t="inlineStr">
        <is>
          <t>Large 50+ yr regional multi-location company (Skagit/Snohomish/Whatcom); modern branded site, runs paid Google ads</t>
        </is>
      </c>
      <c r="L2" s="24" t="inlineStr">
        <is>
          <t>Google Maps; WebSearch</t>
        </is>
      </c>
      <c r="M2" s="24" t="inlineStr">
        <is>
          <t>2026-07-02</t>
        </is>
      </c>
    </row>
    <row r="3" ht="28.5" customHeight="1" s="21">
      <c r="A3" s="24" t="inlineStr">
        <is>
          <t>Arlington</t>
        </is>
      </c>
      <c r="B3" s="24" t="inlineStr">
        <is>
          <t>Cozy Heating Inc.</t>
        </is>
      </c>
      <c r="C3" s="24" t="inlineStr">
        <is>
          <t>(360) 803-8914</t>
        </is>
      </c>
      <c r="D3" s="24" t="inlineStr">
        <is>
          <t>Yes</t>
        </is>
      </c>
      <c r="E3" s="24" t="inlineStr">
        <is>
          <t>cozyheatinginc.com</t>
        </is>
      </c>
      <c r="F3" s="24" t="inlineStr">
        <is>
          <t>Professional</t>
        </is>
      </c>
      <c r="G3" s="24" t="n">
        <v>4.9</v>
      </c>
      <c r="H3" s="24" t="n">
        <v>405</v>
      </c>
      <c r="I3" s="40" t="inlineStr">
        <is>
          <t>Skip</t>
        </is>
      </c>
      <c r="J3" s="24" t="inlineStr">
        <is>
          <t>Vincent Lee Sr Willett (L&amp;I principal)</t>
        </is>
      </c>
      <c r="K3" s="24" t="inlineStr">
        <is>
          <t>Family-owned since 1979; clean modern site, clear CTAs, financing page</t>
        </is>
      </c>
      <c r="L3" s="24" t="inlineStr">
        <is>
          <t>Google Maps; WebSearch</t>
        </is>
      </c>
      <c r="M3" s="24" t="inlineStr">
        <is>
          <t>2026-07-02</t>
        </is>
      </c>
    </row>
    <row r="4" ht="15.75" customHeight="1" s="21">
      <c r="A4" s="24" t="inlineStr">
        <is>
          <t>Arlington</t>
        </is>
      </c>
      <c r="B4" s="24" t="inlineStr">
        <is>
          <t>Northern Comfort Heating &amp; Cooling</t>
        </is>
      </c>
      <c r="C4" s="24" t="inlineStr">
        <is>
          <t>(425) 588-4139</t>
        </is>
      </c>
      <c r="D4" s="24" t="inlineStr">
        <is>
          <t>Yes</t>
        </is>
      </c>
      <c r="E4" s="24" t="inlineStr">
        <is>
          <t>northerncomfortpros.com</t>
        </is>
      </c>
      <c r="F4" s="24" t="inlineStr">
        <is>
          <t>Professional</t>
        </is>
      </c>
      <c r="G4" s="24" t="n">
        <v>4.9</v>
      </c>
      <c r="H4" s="24" t="n">
        <v>280</v>
      </c>
      <c r="I4" s="40" t="inlineStr">
        <is>
          <t>Skip</t>
        </is>
      </c>
      <c r="J4" s="24" t="n"/>
      <c r="K4" s="24" t="inlineStr">
        <is>
          <t>Modern branded site, 24/7 messaging, clean navigation</t>
        </is>
      </c>
      <c r="L4" s="24" t="inlineStr">
        <is>
          <t>Google Maps; WebSearch</t>
        </is>
      </c>
      <c r="M4" s="24" t="inlineStr">
        <is>
          <t>2026-07-02</t>
        </is>
      </c>
    </row>
    <row r="5" ht="28.5" customHeight="1" s="21">
      <c r="A5" s="24" t="inlineStr">
        <is>
          <t>Arlington</t>
        </is>
      </c>
      <c r="B5" s="24" t="inlineStr">
        <is>
          <t>Barron Heating AC Electrical &amp; Plumbing</t>
        </is>
      </c>
      <c r="C5" s="24" t="inlineStr">
        <is>
          <t>(360) 386-7990</t>
        </is>
      </c>
      <c r="D5" s="24" t="inlineStr">
        <is>
          <t>Yes</t>
        </is>
      </c>
      <c r="E5" s="24" t="inlineStr">
        <is>
          <t>barronheating.com</t>
        </is>
      </c>
      <c r="F5" s="24" t="inlineStr">
        <is>
          <t>Professional</t>
        </is>
      </c>
      <c r="G5" s="24" t="n">
        <v>4.9</v>
      </c>
      <c r="H5" s="24" t="n">
        <v>195</v>
      </c>
      <c r="I5" s="40" t="inlineStr">
        <is>
          <t>Skip</t>
        </is>
      </c>
      <c r="J5" s="24" t="n"/>
      <c r="K5" s="24" t="inlineStr">
        <is>
          <t>Large 50-yr regional multi-service company HQ'd in Bellingham; polished corporate site</t>
        </is>
      </c>
      <c r="L5" s="24" t="inlineStr">
        <is>
          <t>Google Maps; WebSearch</t>
        </is>
      </c>
      <c r="M5" s="24" t="inlineStr">
        <is>
          <t>2026-07-02</t>
        </is>
      </c>
    </row>
    <row r="6" ht="15.75" customHeight="1" s="21">
      <c r="A6" s="24" t="inlineStr">
        <is>
          <t>Arlington</t>
        </is>
      </c>
      <c r="B6" s="24" t="inlineStr">
        <is>
          <t>Custom Floor Heating LLC</t>
        </is>
      </c>
      <c r="C6" s="24" t="inlineStr">
        <is>
          <t>(206) 624-0889</t>
        </is>
      </c>
      <c r="D6" s="24" t="inlineStr">
        <is>
          <t>Yes</t>
        </is>
      </c>
      <c r="E6" s="24" t="inlineStr">
        <is>
          <t>customfloorheating.com</t>
        </is>
      </c>
      <c r="F6" s="24" t="inlineStr">
        <is>
          <t>Not assessed</t>
        </is>
      </c>
      <c r="G6" s="24" t="n">
        <v>4.1</v>
      </c>
      <c r="H6" s="24" t="n">
        <v>14</v>
      </c>
      <c r="I6" s="40" t="inlineStr">
        <is>
          <t>Skip</t>
        </is>
      </c>
      <c r="J6" s="24" t="n"/>
      <c r="K6" s="24" t="inlineStr">
        <is>
          <t>Below both rating and review thresholds</t>
        </is>
      </c>
      <c r="L6" s="24" t="inlineStr">
        <is>
          <t>Google Maps</t>
        </is>
      </c>
      <c r="M6" s="24" t="inlineStr">
        <is>
          <t>2026-07-02</t>
        </is>
      </c>
    </row>
    <row r="7" ht="15.75" customHeight="1" s="21">
      <c r="A7" s="24" t="inlineStr">
        <is>
          <t>Arlington</t>
        </is>
      </c>
      <c r="B7" s="24" t="inlineStr">
        <is>
          <t>Cascade Climate</t>
        </is>
      </c>
      <c r="C7" s="24" t="inlineStr">
        <is>
          <t>(425) 923-9089</t>
        </is>
      </c>
      <c r="D7" s="24" t="inlineStr">
        <is>
          <t>Yes</t>
        </is>
      </c>
      <c r="E7" s="24" t="n"/>
      <c r="F7" s="24" t="inlineStr">
        <is>
          <t>Not assessed</t>
        </is>
      </c>
      <c r="G7" s="24" t="n">
        <v>5</v>
      </c>
      <c r="H7" s="24" t="n">
        <v>1</v>
      </c>
      <c r="I7" s="40" t="inlineStr">
        <is>
          <t>Skip</t>
        </is>
      </c>
      <c r="J7" s="24" t="n"/>
      <c r="K7" s="24" t="inlineStr">
        <is>
          <t>Only 1 review - insufficient data to qualify</t>
        </is>
      </c>
      <c r="L7" s="24" t="inlineStr">
        <is>
          <t>Google Maps</t>
        </is>
      </c>
      <c r="M7" s="24" t="inlineStr">
        <is>
          <t>2026-07-02</t>
        </is>
      </c>
    </row>
    <row r="8" ht="28.5" customHeight="1" s="21">
      <c r="A8" s="24" t="inlineStr">
        <is>
          <t>Arlington (Mount Vernon HQ)</t>
        </is>
      </c>
      <c r="B8" s="24" t="inlineStr">
        <is>
          <t>Janes Radiant Heating</t>
        </is>
      </c>
      <c r="C8" s="24" t="inlineStr">
        <is>
          <t>(800) 974-5884</t>
        </is>
      </c>
      <c r="D8" s="24" t="inlineStr">
        <is>
          <t>Yes</t>
        </is>
      </c>
      <c r="E8" s="24" t="inlineStr">
        <is>
          <t>janescompany.com</t>
        </is>
      </c>
      <c r="F8" s="24" t="inlineStr">
        <is>
          <t>Professional</t>
        </is>
      </c>
      <c r="G8" s="24" t="n">
        <v>4.7</v>
      </c>
      <c r="H8" s="24" t="n">
        <v>394</v>
      </c>
      <c r="I8" s="40" t="inlineStr">
        <is>
          <t>Skip</t>
        </is>
      </c>
      <c r="J8" s="24" t="n"/>
      <c r="K8" s="24" t="inlineStr">
        <is>
          <t>Large radiant-heat specialist covering Western WA; well outside core small-shop target profile</t>
        </is>
      </c>
      <c r="L8" s="24" t="inlineStr">
        <is>
          <t>Google Maps</t>
        </is>
      </c>
      <c r="M8" s="24" t="inlineStr">
        <is>
          <t>2026-07-02</t>
        </is>
      </c>
    </row>
    <row r="9" ht="28.5" customHeight="1" s="21">
      <c r="A9" s="24" t="inlineStr">
        <is>
          <t>Marysville</t>
        </is>
      </c>
      <c r="B9" s="24" t="inlineStr">
        <is>
          <t>Product Air Heating, Cooling, and Electric</t>
        </is>
      </c>
      <c r="C9" s="24" t="inlineStr">
        <is>
          <t>(425) 340-3591</t>
        </is>
      </c>
      <c r="D9" s="24" t="inlineStr">
        <is>
          <t>Yes</t>
        </is>
      </c>
      <c r="E9" s="24" t="inlineStr">
        <is>
          <t>productairheating.com</t>
        </is>
      </c>
      <c r="F9" s="24" t="inlineStr">
        <is>
          <t>Professional</t>
        </is>
      </c>
      <c r="G9" s="24" t="n">
        <v>5</v>
      </c>
      <c r="H9" s="24" t="n">
        <v>802</v>
      </c>
      <c r="I9" s="40" t="inlineStr">
        <is>
          <t>Skip</t>
        </is>
      </c>
      <c r="J9" s="24" t="n"/>
      <c r="K9" s="24" t="inlineStr">
        <is>
          <t>Large, fast-growing, women-owned; just opened a Seattle office. Strong reviews and marketing presence</t>
        </is>
      </c>
      <c r="L9" s="24" t="inlineStr">
        <is>
          <t>Google Maps</t>
        </is>
      </c>
      <c r="M9" s="24" t="inlineStr">
        <is>
          <t>2026-07-02</t>
        </is>
      </c>
    </row>
    <row r="10" ht="28.5" customHeight="1" s="21">
      <c r="A10" s="24" t="inlineStr">
        <is>
          <t>Marysville</t>
        </is>
      </c>
      <c r="B10" s="24" t="inlineStr">
        <is>
          <t>Dapper Plumbing, Heating, and Electrical</t>
        </is>
      </c>
      <c r="C10" s="24" t="inlineStr">
        <is>
          <t>(360) 358-5754</t>
        </is>
      </c>
      <c r="D10" s="24" t="inlineStr">
        <is>
          <t>Yes</t>
        </is>
      </c>
      <c r="E10" s="24" t="inlineStr">
        <is>
          <t>dapperplumbing.com</t>
        </is>
      </c>
      <c r="F10" s="24" t="inlineStr">
        <is>
          <t>Professional</t>
        </is>
      </c>
      <c r="G10" s="24" t="n">
        <v>4.8</v>
      </c>
      <c r="H10" s="24" t="n">
        <v>626</v>
      </c>
      <c r="I10" s="40" t="inlineStr">
        <is>
          <t>Skip</t>
        </is>
      </c>
      <c r="J10" s="24" t="n"/>
      <c r="K10" s="24" t="inlineStr">
        <is>
          <t>Large multi-service plumbing/HVAC/electrical company, polished branded site</t>
        </is>
      </c>
      <c r="L10" s="24" t="inlineStr">
        <is>
          <t>Google Maps; direct site visit</t>
        </is>
      </c>
      <c r="M10" s="24" t="inlineStr">
        <is>
          <t>2026-07-02</t>
        </is>
      </c>
    </row>
    <row r="11" ht="28.5" customHeight="1" s="21">
      <c r="A11" s="24" t="inlineStr">
        <is>
          <t>Marysville</t>
        </is>
      </c>
      <c r="B11" s="24" t="inlineStr">
        <is>
          <t>South West Plumbing, Heating, Air &amp; Electric</t>
        </is>
      </c>
      <c r="C11" s="24" t="inlineStr">
        <is>
          <t>(360) 939-8504</t>
        </is>
      </c>
      <c r="D11" s="24" t="inlineStr">
        <is>
          <t>Yes</t>
        </is>
      </c>
      <c r="E11" s="24" t="n"/>
      <c r="F11" s="24" t="inlineStr">
        <is>
          <t>Professional (large chain)</t>
        </is>
      </c>
      <c r="G11" s="24" t="n">
        <v>5</v>
      </c>
      <c r="H11" s="24" t="n">
        <v>2007</v>
      </c>
      <c r="I11" s="40" t="inlineStr">
        <is>
          <t>Skip</t>
        </is>
      </c>
      <c r="J11" s="24" t="n"/>
      <c r="K11" s="24" t="inlineStr">
        <is>
          <t>Large regional multi-service chain</t>
        </is>
      </c>
      <c r="L11" s="24" t="inlineStr">
        <is>
          <t>Google Maps</t>
        </is>
      </c>
      <c r="M11" s="24" t="inlineStr">
        <is>
          <t>2026-07-02</t>
        </is>
      </c>
    </row>
    <row r="12" ht="28.5" customHeight="1" s="21">
      <c r="A12" s="24" t="inlineStr">
        <is>
          <t>Marysville</t>
        </is>
      </c>
      <c r="B12" s="24" t="inlineStr">
        <is>
          <t>Paragon Heating and Home Comfort Solutions</t>
        </is>
      </c>
      <c r="C12" s="24" t="inlineStr">
        <is>
          <t>(360) 658-9500</t>
        </is>
      </c>
      <c r="D12" s="24" t="inlineStr">
        <is>
          <t>Yes</t>
        </is>
      </c>
      <c r="E12" s="24" t="inlineStr">
        <is>
          <t>paragonheating.com</t>
        </is>
      </c>
      <c r="F12" s="24" t="inlineStr">
        <is>
          <t>Professional</t>
        </is>
      </c>
      <c r="G12" s="24" t="n">
        <v>4.8</v>
      </c>
      <c r="H12" s="24" t="n">
        <v>131</v>
      </c>
      <c r="I12" s="40" t="inlineStr">
        <is>
          <t>Skip</t>
        </is>
      </c>
      <c r="J12" s="24" t="n"/>
      <c r="K12" s="24" t="inlineStr">
        <is>
          <t>Custom branded logo, real photography, polished design</t>
        </is>
      </c>
      <c r="L12" s="24" t="inlineStr">
        <is>
          <t>Google Maps; WebSearch; direct site visit</t>
        </is>
      </c>
      <c r="M12" s="24" t="inlineStr">
        <is>
          <t>2026-07-02</t>
        </is>
      </c>
    </row>
    <row r="13" ht="28.5" customHeight="1" s="21">
      <c r="A13" s="24" t="inlineStr">
        <is>
          <t>Marysville (Renton HQ)</t>
        </is>
      </c>
      <c r="B13" s="24" t="inlineStr">
        <is>
          <t>Energy Saver Solutions LLC</t>
        </is>
      </c>
      <c r="C13" s="24" t="inlineStr">
        <is>
          <t>(206) 558-8070</t>
        </is>
      </c>
      <c r="D13" s="24" t="inlineStr">
        <is>
          <t>Yes</t>
        </is>
      </c>
      <c r="E13" s="24" t="inlineStr">
        <is>
          <t>energysaversolutionswa.com</t>
        </is>
      </c>
      <c r="F13" s="24" t="inlineStr">
        <is>
          <t>Not assessed</t>
        </is>
      </c>
      <c r="G13" s="24" t="n">
        <v>5</v>
      </c>
      <c r="H13" s="24" t="n">
        <v>167</v>
      </c>
      <c r="I13" s="40" t="inlineStr">
        <is>
          <t>Skip</t>
        </is>
      </c>
      <c r="J13" s="24" t="n"/>
      <c r="K13" s="24" t="inlineStr">
        <is>
          <t>HQ'd in Renton/Seattle area, not a genuinely local Marysville shop</t>
        </is>
      </c>
      <c r="L13" s="24" t="inlineStr">
        <is>
          <t>Google Maps</t>
        </is>
      </c>
      <c r="M13" s="24" t="inlineStr">
        <is>
          <t>2026-07-02</t>
        </is>
      </c>
    </row>
    <row r="14" ht="15.75" customHeight="1" s="21">
      <c r="A14" s="24" t="inlineStr">
        <is>
          <t>Marysville</t>
        </is>
      </c>
      <c r="B14" s="24" t="inlineStr">
        <is>
          <t>Topline Marysville HVAC Repair</t>
        </is>
      </c>
      <c r="C14" s="24" t="inlineStr">
        <is>
          <t>(360) 654-7362</t>
        </is>
      </c>
      <c r="D14" s="24" t="inlineStr">
        <is>
          <t>Yes</t>
        </is>
      </c>
      <c r="E14" s="24" t="n"/>
      <c r="F14" s="24" t="inlineStr">
        <is>
          <t>Not assessed</t>
        </is>
      </c>
      <c r="G14" s="24" t="n">
        <v>5</v>
      </c>
      <c r="H14" s="24" t="n">
        <v>4</v>
      </c>
      <c r="I14" s="40" t="inlineStr">
        <is>
          <t>Skip</t>
        </is>
      </c>
      <c r="J14" s="24" t="n"/>
      <c r="K14" s="24" t="inlineStr">
        <is>
          <t>Only 4 reviews - insufficient data to qualify</t>
        </is>
      </c>
      <c r="L14" s="24" t="inlineStr">
        <is>
          <t>Google Maps</t>
        </is>
      </c>
      <c r="M14" s="24" t="inlineStr">
        <is>
          <t>2026-07-02</t>
        </is>
      </c>
    </row>
    <row r="15" ht="15.75" customHeight="1" s="21">
      <c r="A15" s="24" t="inlineStr">
        <is>
          <t>Marysville</t>
        </is>
      </c>
      <c r="B15" s="24" t="inlineStr">
        <is>
          <t>Parker Bros Heating and Cooling</t>
        </is>
      </c>
      <c r="C15" s="24" t="inlineStr">
        <is>
          <t>(360) 572-0108</t>
        </is>
      </c>
      <c r="D15" s="24" t="inlineStr">
        <is>
          <t>Yes</t>
        </is>
      </c>
      <c r="E15" s="24" t="n"/>
      <c r="F15" s="24" t="inlineStr">
        <is>
          <t>Not assessed</t>
        </is>
      </c>
      <c r="G15" s="24" t="n">
        <v>4.7</v>
      </c>
      <c r="H15" s="24" t="n">
        <v>18</v>
      </c>
      <c r="I15" s="40" t="inlineStr">
        <is>
          <t>Skip</t>
        </is>
      </c>
      <c r="J15" s="24" t="n"/>
      <c r="K15" s="24" t="inlineStr">
        <is>
          <t>Below 30-review threshold</t>
        </is>
      </c>
      <c r="L15" s="24" t="inlineStr">
        <is>
          <t>Google Maps</t>
        </is>
      </c>
      <c r="M15" s="24" t="inlineStr">
        <is>
          <t>2026-07-02</t>
        </is>
      </c>
    </row>
    <row r="16" ht="15.75" customHeight="1" s="21">
      <c r="A16" s="24" t="inlineStr">
        <is>
          <t>Marysville</t>
        </is>
      </c>
      <c r="B16" s="24" t="inlineStr">
        <is>
          <t>Nordstrom Heating &amp; Air, Inc</t>
        </is>
      </c>
      <c r="C16" s="24" t="inlineStr">
        <is>
          <t>(360) 386-8770</t>
        </is>
      </c>
      <c r="D16" s="24" t="inlineStr">
        <is>
          <t>Yes</t>
        </is>
      </c>
      <c r="E16" s="24" t="n"/>
      <c r="F16" s="24" t="inlineStr">
        <is>
          <t>Not assessed</t>
        </is>
      </c>
      <c r="G16" s="24" t="n">
        <v>5</v>
      </c>
      <c r="H16" s="24" t="n">
        <v>5</v>
      </c>
      <c r="I16" s="40" t="inlineStr">
        <is>
          <t>Skip</t>
        </is>
      </c>
      <c r="J16" s="24" t="n"/>
      <c r="K16" s="24" t="inlineStr">
        <is>
          <t>Below 30-review threshold</t>
        </is>
      </c>
      <c r="L16" s="24" t="inlineStr">
        <is>
          <t>Google Maps</t>
        </is>
      </c>
      <c r="M16" s="24" t="inlineStr">
        <is>
          <t>2026-07-02</t>
        </is>
      </c>
    </row>
    <row r="17" ht="15.75" customHeight="1" s="21">
      <c r="A17" s="24" t="inlineStr">
        <is>
          <t>Marysville</t>
        </is>
      </c>
      <c r="B17" s="24" t="inlineStr">
        <is>
          <t>Polk Mechanical, LLC</t>
        </is>
      </c>
      <c r="C17" s="24" t="inlineStr">
        <is>
          <t>(425) 268-1471</t>
        </is>
      </c>
      <c r="D17" s="24" t="inlineStr">
        <is>
          <t>Yes</t>
        </is>
      </c>
      <c r="E17" s="24" t="n"/>
      <c r="F17" s="24" t="inlineStr">
        <is>
          <t>Not assessed</t>
        </is>
      </c>
      <c r="G17" s="24" t="n">
        <v>5</v>
      </c>
      <c r="H17" s="24" t="n">
        <v>15</v>
      </c>
      <c r="I17" s="40" t="inlineStr">
        <is>
          <t>Skip</t>
        </is>
      </c>
      <c r="J17" s="24" t="n"/>
      <c r="K17" s="24" t="inlineStr">
        <is>
          <t>Below 30-review threshold</t>
        </is>
      </c>
      <c r="L17" s="24" t="inlineStr">
        <is>
          <t>Google Maps</t>
        </is>
      </c>
      <c r="M17" s="24" t="inlineStr">
        <is>
          <t>2026-07-02</t>
        </is>
      </c>
    </row>
    <row r="18" ht="15.75" customHeight="1" s="21">
      <c r="A18" s="24" t="inlineStr">
        <is>
          <t>Marysville</t>
        </is>
      </c>
      <c r="B18" s="24" t="inlineStr">
        <is>
          <t>Elevated HVAC Technologies L.L.C.</t>
        </is>
      </c>
      <c r="C18" s="24" t="inlineStr">
        <is>
          <t>(425) 892-3623</t>
        </is>
      </c>
      <c r="D18" s="24" t="inlineStr">
        <is>
          <t>Yes</t>
        </is>
      </c>
      <c r="E18" s="24" t="n"/>
      <c r="F18" s="24" t="inlineStr">
        <is>
          <t>Not assessed</t>
        </is>
      </c>
      <c r="G18" s="24" t="n">
        <v>5</v>
      </c>
      <c r="H18" s="24" t="n">
        <v>12</v>
      </c>
      <c r="I18" s="40" t="inlineStr">
        <is>
          <t>Skip</t>
        </is>
      </c>
      <c r="J18" s="24" t="n"/>
      <c r="K18" s="24" t="inlineStr">
        <is>
          <t>Below 30-review threshold</t>
        </is>
      </c>
      <c r="L18" s="24" t="inlineStr">
        <is>
          <t>Google Maps</t>
        </is>
      </c>
      <c r="M18" s="24" t="inlineStr">
        <is>
          <t>2026-07-02</t>
        </is>
      </c>
    </row>
    <row r="19" ht="28.5" customHeight="1" s="21">
      <c r="A19" s="24" t="inlineStr">
        <is>
          <t>Stanwood</t>
        </is>
      </c>
      <c r="B19" s="24" t="inlineStr">
        <is>
          <t>Stilly River Mechanical, Inc.</t>
        </is>
      </c>
      <c r="C19" s="24" t="inlineStr">
        <is>
          <t>(360) 387-3788</t>
        </is>
      </c>
      <c r="D19" s="24" t="inlineStr">
        <is>
          <t>Yes</t>
        </is>
      </c>
      <c r="E19" s="24" t="inlineStr">
        <is>
          <t>stillyrivermechanical.com</t>
        </is>
      </c>
      <c r="F19" s="24" t="inlineStr">
        <is>
          <t>Professional</t>
        </is>
      </c>
      <c r="G19" s="24" t="n">
        <v>4.9</v>
      </c>
      <c r="H19" s="24" t="n">
        <v>574</v>
      </c>
      <c r="I19" s="40" t="inlineStr">
        <is>
          <t>Skip</t>
        </is>
      </c>
      <c r="J19" s="24" t="n"/>
      <c r="K19" s="24" t="inlineStr">
        <is>
          <t>Modern branded site, clean lead form, 18+ year family-owned company</t>
        </is>
      </c>
      <c r="L19" s="24" t="inlineStr">
        <is>
          <t>Google Maps; WebSearch; direct site visit</t>
        </is>
      </c>
      <c r="M19" s="24" t="inlineStr">
        <is>
          <t>2026-07-02</t>
        </is>
      </c>
    </row>
    <row r="20" ht="15.75" customHeight="1" s="21">
      <c r="A20" s="24" t="inlineStr">
        <is>
          <t>Stanwood</t>
        </is>
      </c>
      <c r="B20" s="24" t="inlineStr">
        <is>
          <t>Lobach HeatCoolX Systems</t>
        </is>
      </c>
      <c r="C20" s="24" t="inlineStr">
        <is>
          <t>(425) 345-3095</t>
        </is>
      </c>
      <c r="D20" s="24" t="inlineStr">
        <is>
          <t>Yes</t>
        </is>
      </c>
      <c r="E20" s="24" t="n"/>
      <c r="F20" s="24" t="inlineStr">
        <is>
          <t>Not assessed</t>
        </is>
      </c>
      <c r="G20" s="24" t="n">
        <v>5</v>
      </c>
      <c r="H20" s="24" t="n">
        <v>13</v>
      </c>
      <c r="I20" s="40" t="inlineStr">
        <is>
          <t>Skip</t>
        </is>
      </c>
      <c r="J20" s="24" t="n"/>
      <c r="K20" s="24" t="inlineStr">
        <is>
          <t>Below 30-review threshold</t>
        </is>
      </c>
      <c r="L20" s="24" t="inlineStr">
        <is>
          <t>Google Maps</t>
        </is>
      </c>
      <c r="M20" s="24" t="inlineStr">
        <is>
          <t>2026-07-02</t>
        </is>
      </c>
    </row>
    <row r="21" ht="15.75" customHeight="1" s="21">
      <c r="A21" s="24" t="inlineStr">
        <is>
          <t>Stanwood</t>
        </is>
      </c>
      <c r="B21" s="24" t="inlineStr">
        <is>
          <t>All-Ways Air Control</t>
        </is>
      </c>
      <c r="C21" s="24" t="inlineStr">
        <is>
          <t>(360) 939-2637</t>
        </is>
      </c>
      <c r="D21" s="24" t="inlineStr">
        <is>
          <t>No</t>
        </is>
      </c>
      <c r="E21" s="24" t="n"/>
      <c r="F21" s="24" t="inlineStr">
        <is>
          <t>N/A</t>
        </is>
      </c>
      <c r="G21" s="24" t="n">
        <v>3.2</v>
      </c>
      <c r="H21" s="24" t="n">
        <v>9</v>
      </c>
      <c r="I21" s="40" t="inlineStr">
        <is>
          <t>Skip</t>
        </is>
      </c>
      <c r="J21" s="24" t="n"/>
      <c r="K21" s="24" t="inlineStr">
        <is>
          <t>Below both rating and review thresholds</t>
        </is>
      </c>
      <c r="L21" s="24" t="inlineStr">
        <is>
          <t>Google Maps</t>
        </is>
      </c>
      <c r="M21" s="24" t="inlineStr">
        <is>
          <t>2026-07-02</t>
        </is>
      </c>
    </row>
    <row r="22" ht="28.5" customHeight="1" s="21">
      <c r="A22" s="24" t="inlineStr">
        <is>
          <t>Stanwood</t>
        </is>
      </c>
      <c r="B22" s="24" t="inlineStr">
        <is>
          <t>Ronk Brothers Heating (Stanwood location)</t>
        </is>
      </c>
      <c r="C22" s="24" t="inlineStr">
        <is>
          <t>(360) 855-1025</t>
        </is>
      </c>
      <c r="D22" s="24" t="inlineStr">
        <is>
          <t>Yes</t>
        </is>
      </c>
      <c r="E22" s="24" t="inlineStr">
        <is>
          <t>ronkheating.com</t>
        </is>
      </c>
      <c r="F22" s="24" t="inlineStr">
        <is>
          <t>Professional</t>
        </is>
      </c>
      <c r="G22" s="24" t="n">
        <v>0</v>
      </c>
      <c r="H22" s="24" t="n">
        <v>0</v>
      </c>
      <c r="I22" s="40" t="inlineStr">
        <is>
          <t>Skip</t>
        </is>
      </c>
      <c r="J22" s="24" t="n"/>
      <c r="K22" s="24" t="inlineStr">
        <is>
          <t>No reviews yet at this location; part of the large Ronk Brothers group already flagged Skip in Arlington</t>
        </is>
      </c>
      <c r="L22" s="24" t="inlineStr">
        <is>
          <t>Google Maps</t>
        </is>
      </c>
      <c r="M22" s="24" t="inlineStr">
        <is>
          <t>2026-07-02</t>
        </is>
      </c>
    </row>
    <row r="23" ht="28.5" customHeight="1" s="21">
      <c r="A23" s="24" t="inlineStr">
        <is>
          <t>Stanwood (Whidbey/Fidalgo focus)</t>
        </is>
      </c>
      <c r="B23" s="24" t="inlineStr">
        <is>
          <t>Island Ductless Heat Pumps</t>
        </is>
      </c>
      <c r="C23" s="24" t="inlineStr">
        <is>
          <t>(360) 321-4252</t>
        </is>
      </c>
      <c r="D23" s="24" t="inlineStr">
        <is>
          <t>Yes</t>
        </is>
      </c>
      <c r="E23" s="24" t="inlineStr">
        <is>
          <t>islandheatpumps.com</t>
        </is>
      </c>
      <c r="F23" s="24" t="inlineStr">
        <is>
          <t>Not assessed</t>
        </is>
      </c>
      <c r="G23" s="24" t="n">
        <v>4.9</v>
      </c>
      <c r="H23" s="24" t="n">
        <v>171</v>
      </c>
      <c r="I23" s="40" t="inlineStr">
        <is>
          <t>Skip</t>
        </is>
      </c>
      <c r="J23" s="24" t="n"/>
      <c r="K23" s="24" t="inlineStr">
        <is>
          <t>Primarily serves Whidbey/Fidalgo Island communities, not a core Stanwood-area shop</t>
        </is>
      </c>
      <c r="L23" s="24" t="inlineStr">
        <is>
          <t>Google Maps; WebSearch</t>
        </is>
      </c>
      <c r="M23" s="24" t="inlineStr">
        <is>
          <t>2026-07-02</t>
        </is>
      </c>
    </row>
    <row r="24" ht="15.75" customHeight="1" s="21">
      <c r="A24" s="24" t="inlineStr">
        <is>
          <t>Stanwood</t>
        </is>
      </c>
      <c r="B24" s="24" t="inlineStr">
        <is>
          <t>Prince Mechanical</t>
        </is>
      </c>
      <c r="C24" s="24" t="inlineStr">
        <is>
          <t>(360) 965-9157</t>
        </is>
      </c>
      <c r="D24" s="24" t="inlineStr">
        <is>
          <t>Yes</t>
        </is>
      </c>
      <c r="E24" s="24" t="n"/>
      <c r="F24" s="24" t="inlineStr">
        <is>
          <t>Not assessed</t>
        </is>
      </c>
      <c r="G24" s="24" t="n">
        <v>5</v>
      </c>
      <c r="H24" s="24" t="n">
        <v>2</v>
      </c>
      <c r="I24" s="40" t="inlineStr">
        <is>
          <t>Skip</t>
        </is>
      </c>
      <c r="J24" s="24" t="n"/>
      <c r="K24" s="24" t="inlineStr">
        <is>
          <t>Only 2 reviews - insufficient data</t>
        </is>
      </c>
      <c r="L24" s="24" t="inlineStr">
        <is>
          <t>Google Maps</t>
        </is>
      </c>
      <c r="M24" s="24" t="inlineStr">
        <is>
          <t>2026-07-02</t>
        </is>
      </c>
    </row>
    <row r="25" ht="28.5" customHeight="1" s="21">
      <c r="A25" s="24" t="inlineStr">
        <is>
          <t>Mount Vernon</t>
        </is>
      </c>
      <c r="B25" s="24" t="inlineStr">
        <is>
          <t>Foss Heating &amp; Cooling</t>
        </is>
      </c>
      <c r="C25" s="24" t="inlineStr">
        <is>
          <t>(360) 336-1517</t>
        </is>
      </c>
      <c r="D25" s="24" t="inlineStr">
        <is>
          <t>Yes</t>
        </is>
      </c>
      <c r="E25" s="24" t="inlineStr">
        <is>
          <t>fossheating.com</t>
        </is>
      </c>
      <c r="F25" s="24" t="inlineStr">
        <is>
          <t>Not deeply assessed (large, established)</t>
        </is>
      </c>
      <c r="G25" s="24" t="n">
        <v>4.9</v>
      </c>
      <c r="H25" s="24" t="n">
        <v>956</v>
      </c>
      <c r="I25" s="40" t="inlineStr">
        <is>
          <t>Skip</t>
        </is>
      </c>
      <c r="J25" s="24" t="n"/>
      <c r="K25" s="24" t="inlineStr">
        <is>
          <t>Large, long-established Skagit County company with strong review volume; presumed professional web presence</t>
        </is>
      </c>
      <c r="L25" s="24" t="inlineStr">
        <is>
          <t>Google Maps</t>
        </is>
      </c>
      <c r="M25" s="24" t="inlineStr">
        <is>
          <t>2026-07-02</t>
        </is>
      </c>
    </row>
    <row r="26" ht="28.5" customHeight="1" s="21">
      <c r="A26" s="24" t="inlineStr">
        <is>
          <t>Mount Vernon</t>
        </is>
      </c>
      <c r="B26" s="24" t="inlineStr">
        <is>
          <t>CPI Plumbing &amp; Heating</t>
        </is>
      </c>
      <c r="C26" s="24" t="inlineStr">
        <is>
          <t>(360) 447-6675</t>
        </is>
      </c>
      <c r="D26" s="24" t="inlineStr">
        <is>
          <t>Yes</t>
        </is>
      </c>
      <c r="E26" s="24" t="n"/>
      <c r="F26" s="24" t="inlineStr">
        <is>
          <t>Not deeply assessed (large)</t>
        </is>
      </c>
      <c r="G26" s="24" t="n">
        <v>4.8</v>
      </c>
      <c r="H26" s="24" t="n">
        <v>3080</v>
      </c>
      <c r="I26" s="40" t="inlineStr">
        <is>
          <t>Skip</t>
        </is>
      </c>
      <c r="J26" s="24" t="n"/>
      <c r="K26" s="24" t="inlineStr">
        <is>
          <t>Very large multi-service plumbing/HVAC company</t>
        </is>
      </c>
      <c r="L26" s="24" t="inlineStr">
        <is>
          <t>Google Maps</t>
        </is>
      </c>
      <c r="M26" s="24" t="inlineStr">
        <is>
          <t>2026-07-02</t>
        </is>
      </c>
    </row>
    <row r="27" ht="28.5" customHeight="1" s="21">
      <c r="A27" s="24" t="inlineStr">
        <is>
          <t>Mount Vernon</t>
        </is>
      </c>
      <c r="B27" s="24" t="inlineStr">
        <is>
          <t>CM Heating</t>
        </is>
      </c>
      <c r="C27" s="24" t="inlineStr">
        <is>
          <t>(360) 535-7277</t>
        </is>
      </c>
      <c r="D27" s="24" t="inlineStr">
        <is>
          <t>Yes</t>
        </is>
      </c>
      <c r="E27" s="24" t="inlineStr">
        <is>
          <t>cmheating.com</t>
        </is>
      </c>
      <c r="F27" s="24" t="inlineStr">
        <is>
          <t>Professional (large chain)</t>
        </is>
      </c>
      <c r="G27" s="24" t="n">
        <v>5</v>
      </c>
      <c r="H27" s="24" t="n">
        <v>1205</v>
      </c>
      <c r="I27" s="40" t="inlineStr">
        <is>
          <t>Skip</t>
        </is>
      </c>
      <c r="J27" s="24" t="n"/>
      <c r="K27" s="24" t="inlineStr">
        <is>
          <t>Large Snohomish/Skagit multi-service HVAC/plumbing/electrical chain</t>
        </is>
      </c>
      <c r="L27" s="24" t="inlineStr">
        <is>
          <t>Google Maps</t>
        </is>
      </c>
      <c r="M27" s="24" t="inlineStr">
        <is>
          <t>2026-07-02</t>
        </is>
      </c>
    </row>
    <row r="28" ht="15.75" customHeight="1" s="21">
      <c r="A28" s="24" t="inlineStr">
        <is>
          <t>Mount Vernon</t>
        </is>
      </c>
      <c r="B28" s="24" t="inlineStr">
        <is>
          <t>Mount Vernon HVAC Pros</t>
        </is>
      </c>
      <c r="C28" s="24" t="inlineStr">
        <is>
          <t>(360) 382-4170</t>
        </is>
      </c>
      <c r="D28" s="24" t="inlineStr">
        <is>
          <t>No</t>
        </is>
      </c>
      <c r="E28" s="24" t="n"/>
      <c r="F28" s="24" t="inlineStr">
        <is>
          <t>N/A</t>
        </is>
      </c>
      <c r="G28" s="24" t="n">
        <v>5</v>
      </c>
      <c r="H28" s="24" t="n">
        <v>1</v>
      </c>
      <c r="I28" s="40" t="inlineStr">
        <is>
          <t>Skip</t>
        </is>
      </c>
      <c r="J28" s="24" t="n"/>
      <c r="K28" s="24" t="inlineStr">
        <is>
          <t>Only 1 review - insufficient data to qualify</t>
        </is>
      </c>
      <c r="L28" s="24" t="inlineStr">
        <is>
          <t>Google Maps</t>
        </is>
      </c>
      <c r="M28" s="24" t="inlineStr">
        <is>
          <t>2026-07-02</t>
        </is>
      </c>
    </row>
    <row r="29" ht="28.5" customHeight="1" s="21">
      <c r="A29" s="24" t="inlineStr">
        <is>
          <t>Mount Vernon</t>
        </is>
      </c>
      <c r="B29" s="24" t="inlineStr">
        <is>
          <t>R &amp; H Mechanical Inc</t>
        </is>
      </c>
      <c r="C29" s="24" t="inlineStr">
        <is>
          <t>(360) 757-6909</t>
        </is>
      </c>
      <c r="D29" s="24" t="inlineStr">
        <is>
          <t>Yes</t>
        </is>
      </c>
      <c r="E29" s="24" t="inlineStr">
        <is>
          <t>rhmech.com</t>
        </is>
      </c>
      <c r="F29" s="24" t="inlineStr">
        <is>
          <t>Professional</t>
        </is>
      </c>
      <c r="G29" s="24" t="n">
        <v>4.4</v>
      </c>
      <c r="H29" s="24" t="n">
        <v>51</v>
      </c>
      <c r="I29" s="40" t="inlineStr">
        <is>
          <t>Skip</t>
        </is>
      </c>
      <c r="J29" s="24" t="n"/>
      <c r="K29" s="24" t="inlineStr">
        <is>
          <t>Clean modern site, real photography, since 1976</t>
        </is>
      </c>
      <c r="L29" s="24" t="inlineStr">
        <is>
          <t>Google Maps; WebSearch; direct site visit</t>
        </is>
      </c>
      <c r="M29" s="24" t="inlineStr">
        <is>
          <t>2026-07-02</t>
        </is>
      </c>
    </row>
    <row r="30" ht="15.75" customHeight="1" s="21">
      <c r="A30" s="24" t="inlineStr">
        <is>
          <t>Mount Vernon</t>
        </is>
      </c>
      <c r="B30" s="24" t="inlineStr">
        <is>
          <t>SUNDANCE Energy</t>
        </is>
      </c>
      <c r="C30" s="24" t="inlineStr">
        <is>
          <t>(360) 295-9300</t>
        </is>
      </c>
      <c r="D30" s="24" t="inlineStr">
        <is>
          <t>Yes</t>
        </is>
      </c>
      <c r="E30" s="24" t="n"/>
      <c r="F30" s="24" t="inlineStr">
        <is>
          <t>Not assessed</t>
        </is>
      </c>
      <c r="G30" s="24" t="n">
        <v>4.2</v>
      </c>
      <c r="H30" s="24" t="n">
        <v>17</v>
      </c>
      <c r="I30" s="40" t="inlineStr">
        <is>
          <t>Skip</t>
        </is>
      </c>
      <c r="J30" s="24" t="n"/>
      <c r="K30" s="24" t="inlineStr">
        <is>
          <t>Below 30-review threshold</t>
        </is>
      </c>
      <c r="L30" s="24" t="inlineStr">
        <is>
          <t>Google Maps</t>
        </is>
      </c>
      <c r="M30" s="24" t="inlineStr">
        <is>
          <t>2026-07-02</t>
        </is>
      </c>
    </row>
    <row r="31" ht="28.5" customHeight="1" s="21">
      <c r="A31" s="24" t="inlineStr">
        <is>
          <t>Mount Vernon</t>
        </is>
      </c>
      <c r="B31" s="24" t="inlineStr">
        <is>
          <t>All Phase Heating and Air Conditioning Inc.</t>
        </is>
      </c>
      <c r="C31" s="24" t="inlineStr">
        <is>
          <t>(360) 707-8521</t>
        </is>
      </c>
      <c r="D31" s="24" t="inlineStr">
        <is>
          <t>Yes</t>
        </is>
      </c>
      <c r="E31" s="24" t="n"/>
      <c r="F31" s="24" t="inlineStr">
        <is>
          <t>Not assessed</t>
        </is>
      </c>
      <c r="G31" s="24" t="n">
        <v>4.5</v>
      </c>
      <c r="H31" s="24" t="n">
        <v>16</v>
      </c>
      <c r="I31" s="40" t="inlineStr">
        <is>
          <t>Skip</t>
        </is>
      </c>
      <c r="J31" s="24" t="n"/>
      <c r="K31" s="24" t="inlineStr">
        <is>
          <t>Below 30-review threshold</t>
        </is>
      </c>
      <c r="L31" s="24" t="inlineStr">
        <is>
          <t>Google Maps</t>
        </is>
      </c>
      <c r="M31" s="24" t="inlineStr">
        <is>
          <t>2026-07-02</t>
        </is>
      </c>
    </row>
    <row r="32" ht="28.5" customHeight="1" s="21">
      <c r="A32" s="24" t="inlineStr">
        <is>
          <t>Everett</t>
        </is>
      </c>
      <c r="B32" s="24" t="inlineStr">
        <is>
          <t>Home Comfort Alliance - Everett</t>
        </is>
      </c>
      <c r="C32" s="24" t="inlineStr">
        <is>
          <t>(425) 250-8005</t>
        </is>
      </c>
      <c r="D32" s="24" t="inlineStr">
        <is>
          <t>Yes</t>
        </is>
      </c>
      <c r="E32" s="24" t="inlineStr">
        <is>
          <t>homecomfortalliance.com</t>
        </is>
      </c>
      <c r="F32" s="24" t="inlineStr">
        <is>
          <t>Professional (large chain)</t>
        </is>
      </c>
      <c r="G32" s="24" t="n">
        <v>4.8</v>
      </c>
      <c r="H32" s="24" t="n">
        <v>1776</v>
      </c>
      <c r="I32" s="40" t="inlineStr">
        <is>
          <t>Skip</t>
        </is>
      </c>
      <c r="J32" s="24" t="n"/>
      <c r="K32" s="24" t="inlineStr">
        <is>
          <t>Large multi-city company running paid Google Ads</t>
        </is>
      </c>
      <c r="L32" s="24" t="inlineStr">
        <is>
          <t>Google Maps</t>
        </is>
      </c>
      <c r="M32" s="24" t="inlineStr">
        <is>
          <t>2026-07-02</t>
        </is>
      </c>
    </row>
    <row r="33" ht="28.5" customHeight="1" s="21">
      <c r="A33" s="24" t="inlineStr">
        <is>
          <t>Everett</t>
        </is>
      </c>
      <c r="B33" s="24" t="inlineStr">
        <is>
          <t>Greenwood Heating and Home Services</t>
        </is>
      </c>
      <c r="C33" s="24" t="inlineStr">
        <is>
          <t>(206) 207-4734</t>
        </is>
      </c>
      <c r="D33" s="24" t="inlineStr">
        <is>
          <t>Yes</t>
        </is>
      </c>
      <c r="E33" s="24" t="inlineStr">
        <is>
          <t>greenwoodheating.com</t>
        </is>
      </c>
      <c r="F33" s="24" t="inlineStr">
        <is>
          <t>Not deeply assessed (large, established)</t>
        </is>
      </c>
      <c r="G33" s="24" t="n">
        <v>4.7</v>
      </c>
      <c r="H33" s="24" t="n">
        <v>210</v>
      </c>
      <c r="I33" s="40" t="inlineStr">
        <is>
          <t>Skip</t>
        </is>
      </c>
      <c r="J33" s="24" t="n"/>
      <c r="K33" s="24" t="inlineStr">
        <is>
          <t>Full-service HVAC/electrical/plumbing company serving Everett since 1921</t>
        </is>
      </c>
      <c r="L33" s="24" t="inlineStr">
        <is>
          <t>Google Maps; WebSearch</t>
        </is>
      </c>
      <c r="M33" s="24" t="inlineStr">
        <is>
          <t>2026-07-02</t>
        </is>
      </c>
    </row>
    <row r="34" ht="28.5" customHeight="1" s="21">
      <c r="A34" s="24" t="inlineStr">
        <is>
          <t>Everett</t>
        </is>
      </c>
      <c r="B34" s="24" t="inlineStr">
        <is>
          <t>North Heat &amp; Air</t>
        </is>
      </c>
      <c r="C34" s="24" t="inlineStr">
        <is>
          <t>(425) 550-2203</t>
        </is>
      </c>
      <c r="D34" s="24" t="inlineStr">
        <is>
          <t>Yes</t>
        </is>
      </c>
      <c r="E34" s="24" t="inlineStr">
        <is>
          <t>northheatair.com</t>
        </is>
      </c>
      <c r="F34" s="24" t="inlineStr">
        <is>
          <t>Professional</t>
        </is>
      </c>
      <c r="G34" s="24" t="n">
        <v>4.9</v>
      </c>
      <c r="H34" s="24" t="n">
        <v>39</v>
      </c>
      <c r="I34" s="40" t="inlineStr">
        <is>
          <t>Skip</t>
        </is>
      </c>
      <c r="J34" s="24" t="n"/>
      <c r="K34" s="24" t="inlineStr">
        <is>
          <t>Modern branded site with real truck/team photography</t>
        </is>
      </c>
      <c r="L34" s="24" t="inlineStr">
        <is>
          <t>Google Maps; WebSearch; direct site visit</t>
        </is>
      </c>
      <c r="M34" s="24" t="inlineStr">
        <is>
          <t>2026-07-02</t>
        </is>
      </c>
    </row>
    <row r="35" ht="28.5" customHeight="1" s="21">
      <c r="A35" s="24" t="inlineStr">
        <is>
          <t>Everett</t>
        </is>
      </c>
      <c r="B35" s="24" t="inlineStr">
        <is>
          <t>Holy Moly Electric Plumbing Heating Air</t>
        </is>
      </c>
      <c r="C35" s="24" t="inlineStr">
        <is>
          <t>(425) 908-0030</t>
        </is>
      </c>
      <c r="D35" s="24" t="inlineStr">
        <is>
          <t>Yes</t>
        </is>
      </c>
      <c r="E35" s="24" t="n"/>
      <c r="F35" s="24" t="inlineStr">
        <is>
          <t>Not deeply assessed (large multi-service)</t>
        </is>
      </c>
      <c r="G35" s="24" t="n">
        <v>4.7</v>
      </c>
      <c r="H35" s="24" t="n">
        <v>328</v>
      </c>
      <c r="I35" s="40" t="inlineStr">
        <is>
          <t>Skip</t>
        </is>
      </c>
      <c r="J35" s="24" t="n"/>
      <c r="K35" s="24" t="inlineStr">
        <is>
          <t>Large multi-service electric/plumbing/HVAC operator</t>
        </is>
      </c>
      <c r="L35" s="24" t="inlineStr">
        <is>
          <t>Google Maps</t>
        </is>
      </c>
      <c r="M35" s="24" t="inlineStr">
        <is>
          <t>2026-07-02</t>
        </is>
      </c>
    </row>
    <row r="36" ht="28.5" customHeight="1" s="21">
      <c r="A36" s="24" t="inlineStr">
        <is>
          <t>Everett</t>
        </is>
      </c>
      <c r="B36" s="24" t="inlineStr">
        <is>
          <t>Sound Comfort Heating and Air Conditioning</t>
        </is>
      </c>
      <c r="C36" s="24" t="inlineStr">
        <is>
          <t>(425) 225-4756</t>
        </is>
      </c>
      <c r="D36" s="24" t="inlineStr">
        <is>
          <t>Yes</t>
        </is>
      </c>
      <c r="E36" s="24" t="inlineStr">
        <is>
          <t>soundcomfortheating.com</t>
        </is>
      </c>
      <c r="F36" s="24" t="inlineStr">
        <is>
          <t>Professional</t>
        </is>
      </c>
      <c r="G36" s="24" t="n">
        <v>5</v>
      </c>
      <c r="H36" s="24" t="n">
        <v>171</v>
      </c>
      <c r="I36" s="40" t="inlineStr">
        <is>
          <t>Skip</t>
        </is>
      </c>
      <c r="J36" s="24" t="n"/>
      <c r="K36" s="24" t="inlineStr">
        <is>
          <t>Clean modern site with lead form and financing messaging</t>
        </is>
      </c>
      <c r="L36" s="24" t="inlineStr">
        <is>
          <t>Google Maps; WebSearch; direct site visit</t>
        </is>
      </c>
      <c r="M36" s="24" t="inlineStr">
        <is>
          <t>2026-07-02</t>
        </is>
      </c>
    </row>
    <row r="37" ht="28.5" customHeight="1" s="21">
      <c r="A37" s="24" t="inlineStr">
        <is>
          <t>Everett</t>
        </is>
      </c>
      <c r="B37" s="24" t="inlineStr">
        <is>
          <t>Eco Electric, Plumbing, Heating and Air</t>
        </is>
      </c>
      <c r="C37" s="24" t="inlineStr">
        <is>
          <t>(206) 800-6975</t>
        </is>
      </c>
      <c r="D37" s="24" t="inlineStr">
        <is>
          <t>Yes</t>
        </is>
      </c>
      <c r="E37" s="24" t="n"/>
      <c r="F37" s="24" t="inlineStr">
        <is>
          <t>Not deeply assessed (large multi-service)</t>
        </is>
      </c>
      <c r="G37" s="24" t="n">
        <v>4.9</v>
      </c>
      <c r="H37" s="24" t="n">
        <v>309</v>
      </c>
      <c r="I37" s="40" t="inlineStr">
        <is>
          <t>Skip</t>
        </is>
      </c>
      <c r="J37" s="24" t="n"/>
      <c r="K37" s="24" t="inlineStr">
        <is>
          <t>Large multi-service electric/plumbing/HVAC operator</t>
        </is>
      </c>
      <c r="L37" s="24" t="inlineStr">
        <is>
          <t>Google Maps</t>
        </is>
      </c>
      <c r="M37" s="24" t="inlineStr">
        <is>
          <t>2026-07-02</t>
        </is>
      </c>
    </row>
    <row r="38" ht="15.75" customHeight="1" s="21">
      <c r="A38" s="24" t="inlineStr">
        <is>
          <t>Everett</t>
        </is>
      </c>
      <c r="B38" s="24" t="inlineStr">
        <is>
          <t>Northwest Thermal Solutions</t>
        </is>
      </c>
      <c r="C38" s="24" t="inlineStr">
        <is>
          <t>(425) 530-9488</t>
        </is>
      </c>
      <c r="D38" s="24" t="inlineStr">
        <is>
          <t>Yes</t>
        </is>
      </c>
      <c r="E38" s="24" t="n"/>
      <c r="F38" s="24" t="inlineStr">
        <is>
          <t>Not assessed</t>
        </is>
      </c>
      <c r="G38" s="24" t="n">
        <v>5</v>
      </c>
      <c r="H38" s="24" t="n">
        <v>4</v>
      </c>
      <c r="I38" s="40" t="inlineStr">
        <is>
          <t>Skip</t>
        </is>
      </c>
      <c r="J38" s="24" t="n"/>
      <c r="K38" s="24" t="inlineStr">
        <is>
          <t>Only 4 reviews - insufficient data</t>
        </is>
      </c>
      <c r="L38" s="24" t="inlineStr">
        <is>
          <t>Google Maps</t>
        </is>
      </c>
      <c r="M38" s="24" t="inlineStr">
        <is>
          <t>2026-07-02</t>
        </is>
      </c>
    </row>
    <row r="39" ht="28.5" customHeight="1" s="21">
      <c r="A39" s="24" t="inlineStr">
        <is>
          <t>Everett</t>
        </is>
      </c>
      <c r="B39" s="24" t="inlineStr">
        <is>
          <t>Better Air NW Heating &amp; Cooling</t>
        </is>
      </c>
      <c r="C39" s="24" t="inlineStr">
        <is>
          <t>(206) 898-5743</t>
        </is>
      </c>
      <c r="D39" s="24" t="inlineStr">
        <is>
          <t>Yes</t>
        </is>
      </c>
      <c r="E39" s="24" t="inlineStr">
        <is>
          <t>betterairnw.com</t>
        </is>
      </c>
      <c r="F39" s="24" t="inlineStr">
        <is>
          <t>Not deeply assessed (large, established)</t>
        </is>
      </c>
      <c r="G39" s="24" t="n">
        <v>4.9</v>
      </c>
      <c r="H39" s="24" t="n">
        <v>412</v>
      </c>
      <c r="I39" s="40" t="inlineStr">
        <is>
          <t>Skip</t>
        </is>
      </c>
      <c r="J39" s="24" t="n"/>
      <c r="K39" s="24" t="inlineStr">
        <is>
          <t>Woman-run company since 2009, strong review volume and marketing presence</t>
        </is>
      </c>
      <c r="L39" s="24" t="inlineStr">
        <is>
          <t>Google Maps; WebSearch</t>
        </is>
      </c>
      <c r="M39" s="24" t="inlineStr">
        <is>
          <t>2026-07-02</t>
        </is>
      </c>
    </row>
    <row r="40" ht="28.5" customHeight="1" s="21">
      <c r="A40" s="24" t="inlineStr">
        <is>
          <t>Everett</t>
        </is>
      </c>
      <c r="B40" s="24" t="inlineStr">
        <is>
          <t>Washington Energy Services</t>
        </is>
      </c>
      <c r="C40" s="24" t="inlineStr">
        <is>
          <t>(800) 398-4663</t>
        </is>
      </c>
      <c r="D40" s="24" t="inlineStr">
        <is>
          <t>Yes</t>
        </is>
      </c>
      <c r="E40" s="24" t="inlineStr">
        <is>
          <t>washingtonenergy.com</t>
        </is>
      </c>
      <c r="F40" s="24" t="inlineStr">
        <is>
          <t>Not deeply assessed (very large)</t>
        </is>
      </c>
      <c r="G40" s="24" t="n">
        <v>4.7</v>
      </c>
      <c r="H40" s="24" t="n">
        <v>911</v>
      </c>
      <c r="I40" s="40" t="inlineStr">
        <is>
          <t>Skip</t>
        </is>
      </c>
      <c r="J40" s="24" t="n"/>
      <c r="K40" s="24" t="inlineStr">
        <is>
          <t>Very large regional home-services company running paid Google Ads</t>
        </is>
      </c>
      <c r="L40" s="24" t="inlineStr">
        <is>
          <t>Google Maps</t>
        </is>
      </c>
      <c r="M40" s="24" t="inlineStr">
        <is>
          <t>2026-07-02</t>
        </is>
      </c>
    </row>
    <row r="41" ht="15.75" customHeight="1" s="21">
      <c r="A41" s="24" t="inlineStr">
        <is>
          <t>Everett</t>
        </is>
      </c>
      <c r="B41" s="24" t="inlineStr">
        <is>
          <t>ExactAir Home Comfort</t>
        </is>
      </c>
      <c r="C41" s="24" t="inlineStr">
        <is>
          <t>(425) 232-9878</t>
        </is>
      </c>
      <c r="D41" s="24" t="inlineStr">
        <is>
          <t>Yes</t>
        </is>
      </c>
      <c r="E41" s="24" t="n"/>
      <c r="F41" s="24" t="inlineStr">
        <is>
          <t>Not assessed</t>
        </is>
      </c>
      <c r="G41" s="24" t="n">
        <v>5</v>
      </c>
      <c r="H41" s="24" t="n">
        <v>11</v>
      </c>
      <c r="I41" s="40" t="inlineStr">
        <is>
          <t>Skip</t>
        </is>
      </c>
      <c r="J41" s="24" t="n"/>
      <c r="K41" s="24" t="inlineStr">
        <is>
          <t>Below 30-review threshold</t>
        </is>
      </c>
      <c r="L41" s="24" t="inlineStr">
        <is>
          <t>Google Maps</t>
        </is>
      </c>
      <c r="M41" s="24" t="inlineStr">
        <is>
          <t>2026-07-02</t>
        </is>
      </c>
    </row>
    <row r="42" ht="15.75" customHeight="1" s="21">
      <c r="A42" s="26" t="n"/>
      <c r="B42" s="26" t="n"/>
      <c r="C42" s="26" t="n"/>
      <c r="D42" s="26" t="n"/>
      <c r="E42" s="26" t="n"/>
      <c r="F42" s="26" t="n"/>
      <c r="G42" s="26" t="n"/>
      <c r="H42" s="26" t="n"/>
      <c r="I42" s="26" t="n"/>
      <c r="J42" s="26" t="n"/>
      <c r="K42" s="26" t="n"/>
      <c r="L42" s="26" t="n"/>
      <c r="M42" s="26" t="n"/>
    </row>
    <row r="43" ht="130.5" customHeight="1" s="21">
      <c r="A43" s="41" t="inlineStr">
        <is>
          <t>These already have a solid site, are too large/established, or fall outside the core target profile. Moved here to keep the main Prospects tab focused on real outreach targets.</t>
        </is>
      </c>
      <c r="B43" s="26" t="n"/>
      <c r="C43" s="26" t="n"/>
      <c r="D43" s="26" t="n"/>
      <c r="E43" s="26" t="n"/>
      <c r="F43" s="26" t="n"/>
      <c r="G43" s="26" t="n"/>
      <c r="H43" s="26" t="n"/>
      <c r="I43" s="26" t="n"/>
      <c r="J43" s="26" t="n"/>
      <c r="K43" s="26" t="n"/>
      <c r="L43" s="26" t="n"/>
      <c r="M43" s="26" t="n"/>
    </row>
    <row r="44" ht="28.5" customHeight="1" s="21">
      <c r="A44" s="24" t="inlineStr">
        <is>
          <t>Lake Stevens</t>
        </is>
      </c>
      <c r="B44" s="24" t="inlineStr">
        <is>
          <t>1st Response HVAC &amp; Electric Solutions</t>
        </is>
      </c>
      <c r="C44" s="24" t="inlineStr">
        <is>
          <t>(206) 643-1525</t>
        </is>
      </c>
      <c r="D44" s="24" t="inlineStr">
        <is>
          <t>Yes</t>
        </is>
      </c>
      <c r="E44" s="24" t="inlineStr">
        <is>
          <t>1stresponsehvac.com</t>
        </is>
      </c>
      <c r="F44" s="24" t="inlineStr">
        <is>
          <t>Professional</t>
        </is>
      </c>
      <c r="G44" s="24" t="n">
        <v>4.6</v>
      </c>
      <c r="H44" s="24" t="n">
        <v>177</v>
      </c>
      <c r="I44" s="40" t="inlineStr">
        <is>
          <t>Skip</t>
        </is>
      </c>
      <c r="J44" s="24" t="n"/>
      <c r="K44" s="24" t="inlineStr">
        <is>
          <t>Real team branding and photography, decent modern design</t>
        </is>
      </c>
      <c r="L44" s="24" t="inlineStr">
        <is>
          <t>Google Maps; WebSearch; direct site visit</t>
        </is>
      </c>
      <c r="M44" s="24" t="inlineStr">
        <is>
          <t>2026-07-02</t>
        </is>
      </c>
    </row>
    <row r="45" ht="28.5" customHeight="1" s="21">
      <c r="A45" s="24" t="inlineStr">
        <is>
          <t>Lake Stevens</t>
        </is>
      </c>
      <c r="B45" s="24" t="inlineStr">
        <is>
          <t>Altitude Heating and Cooling</t>
        </is>
      </c>
      <c r="C45" s="24" t="inlineStr">
        <is>
          <t>(425) 201-1998</t>
        </is>
      </c>
      <c r="D45" s="24" t="inlineStr">
        <is>
          <t>Yes</t>
        </is>
      </c>
      <c r="E45" s="24" t="inlineStr">
        <is>
          <t>altitudeheating.com</t>
        </is>
      </c>
      <c r="F45" s="24" t="inlineStr">
        <is>
          <t>Professional</t>
        </is>
      </c>
      <c r="G45" s="24" t="n">
        <v>5</v>
      </c>
      <c r="H45" s="24" t="n">
        <v>56</v>
      </c>
      <c r="I45" s="40" t="inlineStr">
        <is>
          <t>Skip</t>
        </is>
      </c>
      <c r="J45" s="24" t="n"/>
      <c r="K45" s="24" t="inlineStr">
        <is>
          <t>Modern branded logo, real Google reviews embedded on homepage, clean layout</t>
        </is>
      </c>
      <c r="L45" s="24" t="inlineStr">
        <is>
          <t>Google Maps; WebSearch; direct site visit</t>
        </is>
      </c>
      <c r="M45" s="24" t="inlineStr">
        <is>
          <t>2026-07-02</t>
        </is>
      </c>
    </row>
    <row r="46" ht="28.5" customHeight="1" s="21">
      <c r="A46" s="24" t="inlineStr">
        <is>
          <t>Lake Stevens</t>
        </is>
      </c>
      <c r="B46" s="24" t="inlineStr">
        <is>
          <t>Beck's Furnace Inc.</t>
        </is>
      </c>
      <c r="C46" s="24" t="inlineStr">
        <is>
          <t>(425) 353-2789</t>
        </is>
      </c>
      <c r="D46" s="24" t="inlineStr">
        <is>
          <t>Yes</t>
        </is>
      </c>
      <c r="E46" s="24" t="inlineStr">
        <is>
          <t>becksfurnace.com</t>
        </is>
      </c>
      <c r="F46" s="24" t="inlineStr">
        <is>
          <t>Professional</t>
        </is>
      </c>
      <c r="G46" s="24" t="n">
        <v>4.9</v>
      </c>
      <c r="H46" s="24" t="n">
        <v>69</v>
      </c>
      <c r="I46" s="40" t="inlineStr">
        <is>
          <t>Skip</t>
        </is>
      </c>
      <c r="J46" s="24" t="n"/>
      <c r="K46" s="24" t="inlineStr">
        <is>
          <t>Clean design, real branded truck photography, family owned since 1973</t>
        </is>
      </c>
      <c r="L46" s="24" t="inlineStr">
        <is>
          <t>Google Maps; WebSearch; direct site visit</t>
        </is>
      </c>
      <c r="M46" s="24" t="inlineStr">
        <is>
          <t>2026-07-02</t>
        </is>
      </c>
    </row>
    <row r="47" ht="28.5" customHeight="1" s="21">
      <c r="A47" s="24" t="inlineStr">
        <is>
          <t>Lake Stevens</t>
        </is>
      </c>
      <c r="B47" s="24" t="inlineStr">
        <is>
          <t>Beaver Heating &amp; Air, LLC</t>
        </is>
      </c>
      <c r="C47" s="24" t="inlineStr">
        <is>
          <t>(360) 502-5203</t>
        </is>
      </c>
      <c r="D47" s="24" t="inlineStr">
        <is>
          <t>Yes</t>
        </is>
      </c>
      <c r="E47" s="24" t="inlineStr">
        <is>
          <t>beaverheatingwa.com</t>
        </is>
      </c>
      <c r="F47" s="24" t="inlineStr">
        <is>
          <t>Professional</t>
        </is>
      </c>
      <c r="G47" s="24" t="n">
        <v>4.9</v>
      </c>
      <c r="H47" s="24" t="n">
        <v>113</v>
      </c>
      <c r="I47" s="40" t="inlineStr">
        <is>
          <t>Skip</t>
        </is>
      </c>
      <c r="J47" s="24" t="n"/>
      <c r="K47" s="24" t="inlineStr">
        <is>
          <t>Real team photo, modern branded layout serving Snohomish/Skagit/Whatcom</t>
        </is>
      </c>
      <c r="L47" s="24" t="inlineStr">
        <is>
          <t>Google Maps; WebSearch; direct site visit</t>
        </is>
      </c>
      <c r="M47" s="24" t="inlineStr">
        <is>
          <t>2026-07-02</t>
        </is>
      </c>
    </row>
    <row r="48" ht="57.75" customHeight="1" s="21">
      <c r="A48" s="24" t="inlineStr">
        <is>
          <t>Lake Stevens</t>
        </is>
      </c>
      <c r="B48" s="24" t="inlineStr">
        <is>
          <t>Good Guys Heating, Air and Electrical</t>
        </is>
      </c>
      <c r="C48" s="24" t="inlineStr">
        <is>
          <t>(425) 496-7300</t>
        </is>
      </c>
      <c r="D48" s="24" t="inlineStr">
        <is>
          <t>Yes</t>
        </is>
      </c>
      <c r="E48" s="24" t="inlineStr">
        <is>
          <t>goodguysheatingairandelectrical.com</t>
        </is>
      </c>
      <c r="F48" s="24" t="inlineStr">
        <is>
          <t>Professional</t>
        </is>
      </c>
      <c r="G48" s="24" t="n">
        <v>4.9</v>
      </c>
      <c r="H48" s="24" t="n">
        <v>147</v>
      </c>
      <c r="I48" s="40" t="inlineStr">
        <is>
          <t>Skip</t>
        </is>
      </c>
      <c r="J48" s="24" t="inlineStr">
        <is>
          <t>Seth T. Swetman</t>
        </is>
      </c>
      <c r="K48" s="24" t="inlineStr">
        <is>
          <t>Active site is modern and clean. Note: an old/expired domain (goodguysheating.com) is now parked for sale on GoDaddy - not their real site, but could confuse people searching by name</t>
        </is>
      </c>
      <c r="L48" s="24" t="inlineStr">
        <is>
          <t>Google Maps; WebSearch; direct site visit</t>
        </is>
      </c>
      <c r="M48" s="24" t="inlineStr">
        <is>
          <t>2026-07-02</t>
        </is>
      </c>
    </row>
    <row r="49" ht="15.75" customHeight="1" s="21">
      <c r="A49" s="24" t="inlineStr">
        <is>
          <t>Lake Stevens</t>
        </is>
      </c>
      <c r="B49" s="24" t="inlineStr">
        <is>
          <t>Right On Heating &amp; Sheet Metal Inc.</t>
        </is>
      </c>
      <c r="C49" s="24" t="inlineStr">
        <is>
          <t>(425) 335-4207</t>
        </is>
      </c>
      <c r="D49" s="24" t="inlineStr">
        <is>
          <t>Yes</t>
        </is>
      </c>
      <c r="E49" s="24" t="n"/>
      <c r="F49" s="24" t="inlineStr">
        <is>
          <t>Not assessed</t>
        </is>
      </c>
      <c r="G49" s="24" t="n">
        <v>4.6</v>
      </c>
      <c r="H49" s="24" t="n">
        <v>21</v>
      </c>
      <c r="I49" s="40" t="inlineStr">
        <is>
          <t>Skip</t>
        </is>
      </c>
      <c r="J49" s="24" t="n"/>
      <c r="K49" s="24" t="inlineStr">
        <is>
          <t>Below 30-review threshold</t>
        </is>
      </c>
      <c r="L49" s="24" t="inlineStr">
        <is>
          <t>Google Maps</t>
        </is>
      </c>
      <c r="M49" s="24" t="inlineStr">
        <is>
          <t>2026-07-02</t>
        </is>
      </c>
    </row>
    <row r="50" ht="15.75" customHeight="1" s="21">
      <c r="A50" s="24" t="inlineStr">
        <is>
          <t>Lake Stevens</t>
        </is>
      </c>
      <c r="B50" s="24" t="inlineStr">
        <is>
          <t>Cascade Comfort Systems LLC</t>
        </is>
      </c>
      <c r="C50" s="24" t="inlineStr">
        <is>
          <t>(425) 583-3168</t>
        </is>
      </c>
      <c r="D50" s="24" t="inlineStr">
        <is>
          <t>No</t>
        </is>
      </c>
      <c r="E50" s="24" t="n"/>
      <c r="F50" s="24" t="inlineStr">
        <is>
          <t>N/A</t>
        </is>
      </c>
      <c r="G50" s="24" t="n">
        <v>5</v>
      </c>
      <c r="H50" s="24" t="n">
        <v>1</v>
      </c>
      <c r="I50" s="40" t="inlineStr">
        <is>
          <t>Skip</t>
        </is>
      </c>
      <c r="J50" s="24" t="n"/>
      <c r="K50" s="24" t="inlineStr">
        <is>
          <t>Only 1 review - insufficient data</t>
        </is>
      </c>
      <c r="L50" s="24" t="inlineStr">
        <is>
          <t>Google Maps</t>
        </is>
      </c>
      <c r="M50" s="24" t="inlineStr">
        <is>
          <t>2026-07-02</t>
        </is>
      </c>
    </row>
    <row r="51" ht="28.5" customHeight="1" s="21">
      <c r="A51" s="24" t="inlineStr">
        <is>
          <t>Lake Stevens</t>
        </is>
      </c>
      <c r="B51" s="24" t="inlineStr">
        <is>
          <t>PNW Fresh Air</t>
        </is>
      </c>
      <c r="C51" s="24" t="inlineStr">
        <is>
          <t>(425) 765-5513</t>
        </is>
      </c>
      <c r="D51" s="24" t="inlineStr">
        <is>
          <t>Yes</t>
        </is>
      </c>
      <c r="E51" s="24" t="n"/>
      <c r="F51" s="24" t="inlineStr">
        <is>
          <t>Not assessed</t>
        </is>
      </c>
      <c r="G51" s="24" t="n">
        <v>4.9</v>
      </c>
      <c r="H51" s="24" t="n">
        <v>227</v>
      </c>
      <c r="I51" s="40" t="inlineStr">
        <is>
          <t>Skip</t>
        </is>
      </c>
      <c r="J51" s="24" t="n"/>
      <c r="K51" s="24" t="inlineStr">
        <is>
          <t>Air duct cleaning service, not a core HVAC install/repair contractor</t>
        </is>
      </c>
      <c r="L51" s="24" t="inlineStr">
        <is>
          <t>Google Maps</t>
        </is>
      </c>
      <c r="M51" s="24" t="inlineStr">
        <is>
          <t>2026-07-02</t>
        </is>
      </c>
    </row>
    <row r="52" ht="15.75" customHeight="1" s="21">
      <c r="A52" s="24" t="inlineStr">
        <is>
          <t>Lake Stevens</t>
        </is>
      </c>
      <c r="B52" s="24" t="inlineStr">
        <is>
          <t>Alaka'i Air LLC</t>
        </is>
      </c>
      <c r="C52" s="24" t="inlineStr">
        <is>
          <t>(425) 565-0388</t>
        </is>
      </c>
      <c r="D52" s="24" t="inlineStr">
        <is>
          <t>Yes</t>
        </is>
      </c>
      <c r="E52" s="24" t="n"/>
      <c r="F52" s="24" t="inlineStr">
        <is>
          <t>Not assessed</t>
        </is>
      </c>
      <c r="G52" s="24" t="n">
        <v>5</v>
      </c>
      <c r="H52" s="24" t="n">
        <v>21</v>
      </c>
      <c r="I52" s="40" t="inlineStr">
        <is>
          <t>Skip</t>
        </is>
      </c>
      <c r="J52" s="24" t="n"/>
      <c r="K52" s="24" t="inlineStr">
        <is>
          <t>Below 30-review threshold</t>
        </is>
      </c>
      <c r="L52" s="24" t="inlineStr">
        <is>
          <t>Google Maps</t>
        </is>
      </c>
      <c r="M52" s="24" t="inlineStr">
        <is>
          <t>2026-07-02</t>
        </is>
      </c>
    </row>
    <row r="53" ht="15.75" customHeight="1" s="21">
      <c r="A53" s="24" t="inlineStr">
        <is>
          <t>Lake Stevens</t>
        </is>
      </c>
      <c r="B53" s="24" t="inlineStr">
        <is>
          <t>Ridgeline Heating and Cooling</t>
        </is>
      </c>
      <c r="C53" s="24" t="inlineStr">
        <is>
          <t>(844) 200-7045</t>
        </is>
      </c>
      <c r="D53" s="24" t="inlineStr">
        <is>
          <t>Yes</t>
        </is>
      </c>
      <c r="E53" s="24" t="n"/>
      <c r="F53" s="24" t="inlineStr">
        <is>
          <t>Not assessed</t>
        </is>
      </c>
      <c r="G53" s="24" t="n">
        <v>5</v>
      </c>
      <c r="H53" s="24" t="n">
        <v>20</v>
      </c>
      <c r="I53" s="40" t="inlineStr">
        <is>
          <t>Skip</t>
        </is>
      </c>
      <c r="J53" s="24" t="n"/>
      <c r="K53" s="24" t="inlineStr">
        <is>
          <t>Below 30-review threshold</t>
        </is>
      </c>
      <c r="L53" s="24" t="inlineStr">
        <is>
          <t>Google Maps</t>
        </is>
      </c>
      <c r="M53" s="24" t="inlineStr">
        <is>
          <t>2026-07-02</t>
        </is>
      </c>
    </row>
    <row r="54" ht="28.5" customHeight="1" s="21">
      <c r="A54" s="24" t="inlineStr">
        <is>
          <t>Snohomish</t>
        </is>
      </c>
      <c r="B54" s="24" t="inlineStr">
        <is>
          <t>Lifetime Heating, Cooling, Plumbing and Electric</t>
        </is>
      </c>
      <c r="C54" s="24" t="inlineStr">
        <is>
          <t>(425) 270-8830</t>
        </is>
      </c>
      <c r="D54" s="24" t="inlineStr">
        <is>
          <t>Yes</t>
        </is>
      </c>
      <c r="E54" s="24" t="n"/>
      <c r="F54" s="24" t="inlineStr">
        <is>
          <t>Not deeply assessed (very large)</t>
        </is>
      </c>
      <c r="G54" s="24" t="n">
        <v>4.9</v>
      </c>
      <c r="H54" s="24" t="n">
        <v>1714</v>
      </c>
      <c r="I54" s="40" t="inlineStr">
        <is>
          <t>Skip</t>
        </is>
      </c>
      <c r="J54" s="24" t="n"/>
      <c r="K54" s="24" t="inlineStr">
        <is>
          <t>Very large regional multi-service company</t>
        </is>
      </c>
      <c r="L54" s="24" t="inlineStr">
        <is>
          <t>Google Maps</t>
        </is>
      </c>
      <c r="M54" s="24" t="inlineStr">
        <is>
          <t>2026-07-02</t>
        </is>
      </c>
    </row>
    <row r="55" ht="28.5" customHeight="1" s="21">
      <c r="A55" s="24" t="inlineStr">
        <is>
          <t>Snohomish</t>
        </is>
      </c>
      <c r="B55" s="24" t="inlineStr">
        <is>
          <t>All Heating</t>
        </is>
      </c>
      <c r="C55" s="24" t="inlineStr">
        <is>
          <t>(425) 743-5000</t>
        </is>
      </c>
      <c r="D55" s="24" t="inlineStr">
        <is>
          <t>Yes</t>
        </is>
      </c>
      <c r="E55" s="24" t="n"/>
      <c r="F55" s="24" t="inlineStr">
        <is>
          <t>Not deeply assessed (large)</t>
        </is>
      </c>
      <c r="G55" s="24" t="n">
        <v>4.9</v>
      </c>
      <c r="H55" s="24" t="n">
        <v>706</v>
      </c>
      <c r="I55" s="40" t="inlineStr">
        <is>
          <t>Skip</t>
        </is>
      </c>
      <c r="J55" s="24" t="n"/>
      <c r="K55" s="24" t="inlineStr">
        <is>
          <t>Large established Snohomish County company</t>
        </is>
      </c>
      <c r="L55" s="24" t="inlineStr">
        <is>
          <t>Google Maps</t>
        </is>
      </c>
      <c r="M55" s="24" t="inlineStr">
        <is>
          <t>2026-07-02</t>
        </is>
      </c>
    </row>
    <row r="56" ht="15.75" customHeight="1" s="21">
      <c r="A56" s="24" t="inlineStr">
        <is>
          <t>Snohomish</t>
        </is>
      </c>
      <c r="B56" s="24" t="inlineStr">
        <is>
          <t>Snohomish Valley Electric, Heat &amp; AC</t>
        </is>
      </c>
      <c r="C56" s="24" t="inlineStr">
        <is>
          <t>(360) 294-8276</t>
        </is>
      </c>
      <c r="D56" s="24" t="inlineStr">
        <is>
          <t>Yes</t>
        </is>
      </c>
      <c r="E56" s="24" t="n"/>
      <c r="F56" s="24" t="inlineStr">
        <is>
          <t>Not assessed</t>
        </is>
      </c>
      <c r="G56" s="24" t="n">
        <v>4.5</v>
      </c>
      <c r="H56" s="24" t="n">
        <v>24</v>
      </c>
      <c r="I56" s="40" t="inlineStr">
        <is>
          <t>Skip</t>
        </is>
      </c>
      <c r="J56" s="24" t="n"/>
      <c r="K56" s="24" t="inlineStr">
        <is>
          <t>Below 30-review threshold</t>
        </is>
      </c>
      <c r="L56" s="24" t="inlineStr">
        <is>
          <t>Google Maps</t>
        </is>
      </c>
      <c r="M56" s="24" t="inlineStr">
        <is>
          <t>2026-07-02</t>
        </is>
      </c>
    </row>
    <row r="57" ht="28.5" customHeight="1" s="21">
      <c r="A57" s="24" t="inlineStr">
        <is>
          <t>Lynnwood</t>
        </is>
      </c>
      <c r="B57" s="24" t="inlineStr">
        <is>
          <t>CM Heating (Lynnwood)</t>
        </is>
      </c>
      <c r="C57" s="24" t="inlineStr">
        <is>
          <t>(425) 600-7767</t>
        </is>
      </c>
      <c r="D57" s="24" t="inlineStr">
        <is>
          <t>Yes</t>
        </is>
      </c>
      <c r="E57" s="24" t="inlineStr">
        <is>
          <t>cmheating.com</t>
        </is>
      </c>
      <c r="F57" s="24" t="inlineStr">
        <is>
          <t>Professional (large chain)</t>
        </is>
      </c>
      <c r="G57" s="24" t="n">
        <v>4.9</v>
      </c>
      <c r="H57" s="24" t="n">
        <v>569</v>
      </c>
      <c r="I57" s="40" t="inlineStr">
        <is>
          <t>Skip</t>
        </is>
      </c>
      <c r="J57" s="24" t="n"/>
      <c r="K57" s="24" t="inlineStr">
        <is>
          <t>Large Snohomish/King multi-service HVAC/plumbing/electrical chain</t>
        </is>
      </c>
      <c r="L57" s="24" t="inlineStr">
        <is>
          <t>Google Maps</t>
        </is>
      </c>
      <c r="M57" s="24" t="inlineStr">
        <is>
          <t>2026-07-02</t>
        </is>
      </c>
    </row>
    <row r="58" ht="28.5" customHeight="1" s="21">
      <c r="A58" s="24" t="inlineStr">
        <is>
          <t>Lynnwood</t>
        </is>
      </c>
      <c r="B58" s="24" t="inlineStr">
        <is>
          <t>Kings Heating, Air &amp; Electric</t>
        </is>
      </c>
      <c r="C58" s="24" t="inlineStr">
        <is>
          <t>(425) 224-7623</t>
        </is>
      </c>
      <c r="D58" s="24" t="inlineStr">
        <is>
          <t>Yes</t>
        </is>
      </c>
      <c r="E58" s="24" t="n"/>
      <c r="F58" s="24" t="inlineStr">
        <is>
          <t>Not deeply assessed (large)</t>
        </is>
      </c>
      <c r="G58" s="24" t="n">
        <v>4.9</v>
      </c>
      <c r="H58" s="24" t="n">
        <v>730</v>
      </c>
      <c r="I58" s="40" t="inlineStr">
        <is>
          <t>Skip</t>
        </is>
      </c>
      <c r="J58" s="24" t="n"/>
      <c r="K58" s="24" t="inlineStr">
        <is>
          <t>Large established company</t>
        </is>
      </c>
      <c r="L58" s="24" t="inlineStr">
        <is>
          <t>Google Maps</t>
        </is>
      </c>
      <c r="M58" s="24" t="inlineStr">
        <is>
          <t>2026-07-02</t>
        </is>
      </c>
    </row>
    <row r="59" ht="28.5" customHeight="1" s="21">
      <c r="A59" s="24" t="inlineStr">
        <is>
          <t>Lynnwood</t>
        </is>
      </c>
      <c r="B59" s="24" t="inlineStr">
        <is>
          <t>Washington Energy Services (Lynnwood)</t>
        </is>
      </c>
      <c r="C59" s="24" t="inlineStr">
        <is>
          <t>(800) 398-4663</t>
        </is>
      </c>
      <c r="D59" s="24" t="inlineStr">
        <is>
          <t>Yes</t>
        </is>
      </c>
      <c r="E59" s="24" t="inlineStr">
        <is>
          <t>washingtonenergy.com</t>
        </is>
      </c>
      <c r="F59" s="24" t="inlineStr">
        <is>
          <t>Not deeply assessed (very large)</t>
        </is>
      </c>
      <c r="G59" s="24" t="n">
        <v>4.7</v>
      </c>
      <c r="H59" s="24" t="n">
        <v>914</v>
      </c>
      <c r="I59" s="40" t="inlineStr">
        <is>
          <t>Skip</t>
        </is>
      </c>
      <c r="J59" s="24" t="n"/>
      <c r="K59" s="24" t="inlineStr">
        <is>
          <t>Very large regional home-services company running paid ads</t>
        </is>
      </c>
      <c r="L59" s="24" t="inlineStr">
        <is>
          <t>Google Maps</t>
        </is>
      </c>
      <c r="M59" s="24" t="inlineStr">
        <is>
          <t>2026-07-02</t>
        </is>
      </c>
    </row>
    <row r="60" ht="28.5" customHeight="1" s="21">
      <c r="A60" s="24" t="inlineStr">
        <is>
          <t>Lynnwood</t>
        </is>
      </c>
      <c r="B60" s="24" t="inlineStr">
        <is>
          <t>Brennan Heating, Air Conditioning, &amp; Electric</t>
        </is>
      </c>
      <c r="C60" s="24" t="inlineStr">
        <is>
          <t>(425) 553-2612</t>
        </is>
      </c>
      <c r="D60" s="24" t="inlineStr">
        <is>
          <t>Yes</t>
        </is>
      </c>
      <c r="E60" s="24" t="n"/>
      <c r="F60" s="24" t="inlineStr">
        <is>
          <t>Not deeply assessed (large)</t>
        </is>
      </c>
      <c r="G60" s="24" t="n">
        <v>4.8</v>
      </c>
      <c r="H60" s="24" t="n">
        <v>378</v>
      </c>
      <c r="I60" s="40" t="inlineStr">
        <is>
          <t>Skip</t>
        </is>
      </c>
      <c r="J60" s="24" t="n"/>
      <c r="K60" s="24" t="inlineStr">
        <is>
          <t>Large multi-service company</t>
        </is>
      </c>
      <c r="L60" s="24" t="inlineStr">
        <is>
          <t>Google Maps</t>
        </is>
      </c>
      <c r="M60" s="24" t="inlineStr">
        <is>
          <t>2026-07-02</t>
        </is>
      </c>
    </row>
    <row r="61" ht="28.5" customHeight="1" s="21">
      <c r="A61" s="24" t="inlineStr">
        <is>
          <t>Lynnwood</t>
        </is>
      </c>
      <c r="B61" s="24" t="inlineStr">
        <is>
          <t>Blue Flame Heating &amp; Air Conditioning</t>
        </is>
      </c>
      <c r="C61" s="24" t="inlineStr">
        <is>
          <t>(425) 264-8896</t>
        </is>
      </c>
      <c r="D61" s="24" t="inlineStr">
        <is>
          <t>Yes</t>
        </is>
      </c>
      <c r="E61" s="24" t="n"/>
      <c r="F61" s="24" t="inlineStr">
        <is>
          <t>Not deeply assessed (very large)</t>
        </is>
      </c>
      <c r="G61" s="24" t="n">
        <v>4.4</v>
      </c>
      <c r="H61" s="24" t="n">
        <v>2258</v>
      </c>
      <c r="I61" s="40" t="inlineStr">
        <is>
          <t>Skip</t>
        </is>
      </c>
      <c r="J61" s="24" t="n"/>
      <c r="K61" s="24" t="inlineStr">
        <is>
          <t>Very large regional company</t>
        </is>
      </c>
      <c r="L61" s="24" t="inlineStr">
        <is>
          <t>Google Maps</t>
        </is>
      </c>
      <c r="M61" s="24" t="inlineStr">
        <is>
          <t>2026-07-02</t>
        </is>
      </c>
    </row>
    <row r="62" ht="28.5" customHeight="1" s="21">
      <c r="A62" s="24" t="inlineStr">
        <is>
          <t>Lynnwood</t>
        </is>
      </c>
      <c r="B62" s="24" t="inlineStr">
        <is>
          <t>Day &amp; Nite Plumbing &amp; Heating, Inc.</t>
        </is>
      </c>
      <c r="C62" s="24" t="inlineStr">
        <is>
          <t>(425) 678-6026</t>
        </is>
      </c>
      <c r="D62" s="24" t="inlineStr">
        <is>
          <t>Yes</t>
        </is>
      </c>
      <c r="E62" s="24" t="n"/>
      <c r="F62" s="24" t="inlineStr">
        <is>
          <t>Not deeply assessed (very large)</t>
        </is>
      </c>
      <c r="G62" s="24" t="n">
        <v>4.8</v>
      </c>
      <c r="H62" s="24" t="n">
        <v>1772</v>
      </c>
      <c r="I62" s="40" t="inlineStr">
        <is>
          <t>Skip</t>
        </is>
      </c>
      <c r="J62" s="24" t="n"/>
      <c r="K62" s="24" t="inlineStr">
        <is>
          <t>Very large regional plumbing/HVAC company</t>
        </is>
      </c>
      <c r="L62" s="24" t="inlineStr">
        <is>
          <t>Google Maps</t>
        </is>
      </c>
      <c r="M62" s="24" t="inlineStr">
        <is>
          <t>2026-07-02</t>
        </is>
      </c>
    </row>
    <row r="63" ht="28.5" customHeight="1" s="21">
      <c r="A63" s="24" t="inlineStr">
        <is>
          <t>Edmonds</t>
        </is>
      </c>
      <c r="B63" s="24" t="inlineStr">
        <is>
          <t>Randall Air Conditioning &amp; Heating</t>
        </is>
      </c>
      <c r="C63" s="24" t="inlineStr">
        <is>
          <t>(425) 725-3073</t>
        </is>
      </c>
      <c r="D63" s="24" t="inlineStr">
        <is>
          <t>Yes</t>
        </is>
      </c>
      <c r="E63" s="24" t="inlineStr">
        <is>
          <t>randallacnottingham.com</t>
        </is>
      </c>
      <c r="F63" s="24" t="inlineStr">
        <is>
          <t>Professional</t>
        </is>
      </c>
      <c r="G63" s="24" t="n">
        <v>5</v>
      </c>
      <c r="H63" s="24" t="n">
        <v>31</v>
      </c>
      <c r="I63" s="40" t="inlineStr">
        <is>
          <t>Skip</t>
        </is>
      </c>
      <c r="J63" s="24" t="n"/>
      <c r="K63" s="24" t="inlineStr">
        <is>
          <t>Clean minimal modern design despite an unusual domain name</t>
        </is>
      </c>
      <c r="L63" s="24" t="inlineStr">
        <is>
          <t>Google Maps; WebSearch; direct site visit</t>
        </is>
      </c>
      <c r="M63" s="24" t="inlineStr">
        <is>
          <t>2026-07-02</t>
        </is>
      </c>
    </row>
    <row r="64" ht="28.5" customHeight="1" s="21">
      <c r="A64" s="24" t="inlineStr">
        <is>
          <t>Edmonds</t>
        </is>
      </c>
      <c r="B64" s="24" t="inlineStr">
        <is>
          <t>AirGanic</t>
        </is>
      </c>
      <c r="C64" s="24" t="inlineStr">
        <is>
          <t>(206) 747-4769</t>
        </is>
      </c>
      <c r="D64" s="24" t="inlineStr">
        <is>
          <t>Yes</t>
        </is>
      </c>
      <c r="E64" s="24" t="inlineStr">
        <is>
          <t>airganic.com</t>
        </is>
      </c>
      <c r="F64" s="24" t="inlineStr">
        <is>
          <t>Professional</t>
        </is>
      </c>
      <c r="G64" s="24" t="n">
        <v>4.8</v>
      </c>
      <c r="H64" s="24" t="n">
        <v>315</v>
      </c>
      <c r="I64" s="40" t="inlineStr">
        <is>
          <t>Skip</t>
        </is>
      </c>
      <c r="J64" s="24" t="n"/>
      <c r="K64" s="24" t="inlineStr">
        <is>
          <t>Polished modern site with real photography</t>
        </is>
      </c>
      <c r="L64" s="24" t="inlineStr">
        <is>
          <t>Google Maps; WebSearch; direct site visit</t>
        </is>
      </c>
      <c r="M64" s="24" t="inlineStr">
        <is>
          <t>2026-07-02</t>
        </is>
      </c>
    </row>
    <row r="65" ht="28.5" customHeight="1" s="21">
      <c r="A65" s="24" t="inlineStr">
        <is>
          <t>Edmonds</t>
        </is>
      </c>
      <c r="B65" s="24" t="inlineStr">
        <is>
          <t>Adam&amp;Sam brothers repair - Appliance &amp; Refrigeration</t>
        </is>
      </c>
      <c r="C65" s="24" t="inlineStr">
        <is>
          <t>(425) 570-9520</t>
        </is>
      </c>
      <c r="D65" s="24" t="inlineStr">
        <is>
          <t>No</t>
        </is>
      </c>
      <c r="E65" s="24" t="n"/>
      <c r="F65" s="24" t="inlineStr">
        <is>
          <t>N/A</t>
        </is>
      </c>
      <c r="G65" s="24" t="n">
        <v>4.8</v>
      </c>
      <c r="H65" s="24" t="n">
        <v>28</v>
      </c>
      <c r="I65" s="40" t="inlineStr">
        <is>
          <t>Skip</t>
        </is>
      </c>
      <c r="J65" s="24" t="n"/>
      <c r="K65" s="24" t="inlineStr">
        <is>
          <t>Below 30-review threshold</t>
        </is>
      </c>
      <c r="L65" s="24" t="inlineStr">
        <is>
          <t>Google Maps</t>
        </is>
      </c>
      <c r="M65" s="24" t="inlineStr">
        <is>
          <t>2026-07-02</t>
        </is>
      </c>
    </row>
    <row r="66" ht="15.75" customHeight="1" s="21">
      <c r="A66" s="24" t="inlineStr">
        <is>
          <t>Edmonds</t>
        </is>
      </c>
      <c r="B66" s="24" t="inlineStr">
        <is>
          <t>Olympic</t>
        </is>
      </c>
      <c r="C66" s="24" t="inlineStr">
        <is>
          <t>(425) 670-3900</t>
        </is>
      </c>
      <c r="D66" s="24" t="inlineStr">
        <is>
          <t>No</t>
        </is>
      </c>
      <c r="E66" s="24" t="n"/>
      <c r="F66" s="24" t="inlineStr">
        <is>
          <t>N/A</t>
        </is>
      </c>
      <c r="G66" s="24" t="n">
        <v>5</v>
      </c>
      <c r="H66" s="24" t="n">
        <v>13</v>
      </c>
      <c r="I66" s="40" t="inlineStr">
        <is>
          <t>Skip</t>
        </is>
      </c>
      <c r="J66" s="24" t="n"/>
      <c r="K66" s="24" t="inlineStr">
        <is>
          <t>Below 30-review threshold - insufficient data</t>
        </is>
      </c>
      <c r="L66" s="24" t="inlineStr">
        <is>
          <t>Google Maps</t>
        </is>
      </c>
      <c r="M66" s="24" t="inlineStr">
        <is>
          <t>2026-07-02</t>
        </is>
      </c>
    </row>
    <row r="67" ht="15.75" customHeight="1" s="21">
      <c r="A67" s="24" t="inlineStr">
        <is>
          <t>Monroe</t>
        </is>
      </c>
      <c r="B67" s="24" t="inlineStr">
        <is>
          <t>Heating &amp; Air Conditioning Monroe</t>
        </is>
      </c>
      <c r="C67" s="24" t="inlineStr">
        <is>
          <t>(206) 339-5860</t>
        </is>
      </c>
      <c r="D67" s="24" t="inlineStr">
        <is>
          <t>No</t>
        </is>
      </c>
      <c r="E67" s="24" t="n"/>
      <c r="F67" s="24" t="inlineStr">
        <is>
          <t>N/A</t>
        </is>
      </c>
      <c r="G67" s="24" t="n">
        <v>5</v>
      </c>
      <c r="H67" s="24" t="n">
        <v>8</v>
      </c>
      <c r="I67" s="40" t="inlineStr">
        <is>
          <t>Skip</t>
        </is>
      </c>
      <c r="J67" s="24" t="n"/>
      <c r="K67" s="24" t="inlineStr">
        <is>
          <t>Below 30-review threshold</t>
        </is>
      </c>
      <c r="L67" s="24" t="inlineStr">
        <is>
          <t>Google Maps</t>
        </is>
      </c>
      <c r="M67" s="24" t="inlineStr">
        <is>
          <t>2026-07-02</t>
        </is>
      </c>
    </row>
    <row r="68" ht="15.75" customHeight="1" s="21">
      <c r="A68" s="24" t="inlineStr">
        <is>
          <t>Monroe</t>
        </is>
      </c>
      <c r="B68" s="24" t="inlineStr">
        <is>
          <t>Johansen Mechanical Inc</t>
        </is>
      </c>
      <c r="C68" s="24" t="inlineStr">
        <is>
          <t>(425) 481-2266</t>
        </is>
      </c>
      <c r="D68" s="24" t="inlineStr">
        <is>
          <t>Yes</t>
        </is>
      </c>
      <c r="E68" s="24" t="n"/>
      <c r="F68" s="24" t="inlineStr">
        <is>
          <t>Not assessed</t>
        </is>
      </c>
      <c r="G68" s="24" t="n">
        <v>4</v>
      </c>
      <c r="H68" s="24" t="n">
        <v>19</v>
      </c>
      <c r="I68" s="40" t="inlineStr">
        <is>
          <t>Skip</t>
        </is>
      </c>
      <c r="J68" s="24" t="n"/>
      <c r="K68" s="24" t="inlineStr">
        <is>
          <t>Below both rating and review thresholds</t>
        </is>
      </c>
      <c r="L68" s="24" t="inlineStr">
        <is>
          <t>Google Maps</t>
        </is>
      </c>
      <c r="M68" s="24" t="inlineStr">
        <is>
          <t>2026-07-02</t>
        </is>
      </c>
    </row>
    <row r="69" ht="15.75" customHeight="1" s="21">
      <c r="A69" s="24" t="inlineStr">
        <is>
          <t>Monroe</t>
        </is>
      </c>
      <c r="B69" s="24" t="inlineStr">
        <is>
          <t>Z-Man Services</t>
        </is>
      </c>
      <c r="C69" s="24" t="n"/>
      <c r="D69" s="24" t="inlineStr">
        <is>
          <t>No</t>
        </is>
      </c>
      <c r="E69" s="24" t="n"/>
      <c r="F69" s="24" t="inlineStr">
        <is>
          <t>N/A</t>
        </is>
      </c>
      <c r="G69" s="24" t="n">
        <v>4</v>
      </c>
      <c r="H69" s="24" t="n">
        <v>2</v>
      </c>
      <c r="I69" s="40" t="inlineStr">
        <is>
          <t>Skip</t>
        </is>
      </c>
      <c r="J69" s="24" t="n"/>
      <c r="K69" s="24" t="inlineStr">
        <is>
          <t>Below both rating and review thresholds</t>
        </is>
      </c>
      <c r="L69" s="24" t="inlineStr">
        <is>
          <t>Google Maps</t>
        </is>
      </c>
      <c r="M69" s="24" t="inlineStr">
        <is>
          <t>2026-07-02</t>
        </is>
      </c>
    </row>
    <row r="70" ht="15.75" customHeight="1" s="21">
      <c r="A70" s="24" t="inlineStr">
        <is>
          <t>Monroe</t>
        </is>
      </c>
      <c r="B70" s="24" t="inlineStr">
        <is>
          <t>ACM Cooling and Heating</t>
        </is>
      </c>
      <c r="C70" s="24" t="inlineStr">
        <is>
          <t>(425) 518-3225</t>
        </is>
      </c>
      <c r="D70" s="24" t="inlineStr">
        <is>
          <t>Yes</t>
        </is>
      </c>
      <c r="E70" s="24" t="n"/>
      <c r="F70" s="24" t="inlineStr">
        <is>
          <t>Not assessed</t>
        </is>
      </c>
      <c r="G70" s="24" t="n">
        <v>5</v>
      </c>
      <c r="H70" s="24" t="n">
        <v>6</v>
      </c>
      <c r="I70" s="40" t="inlineStr">
        <is>
          <t>Skip</t>
        </is>
      </c>
      <c r="J70" s="24" t="n"/>
      <c r="K70" s="24" t="inlineStr">
        <is>
          <t>Below 30-review threshold</t>
        </is>
      </c>
      <c r="L70" s="24" t="inlineStr">
        <is>
          <t>Google Maps</t>
        </is>
      </c>
      <c r="M70" s="24" t="inlineStr">
        <is>
          <t>2026-07-02</t>
        </is>
      </c>
    </row>
    <row r="71" ht="28.5" customHeight="1" s="21">
      <c r="A71" s="24" t="inlineStr">
        <is>
          <t>Oak Harbor</t>
        </is>
      </c>
      <c r="B71" s="24" t="inlineStr">
        <is>
          <t>Island Heating &amp; A/C Inc.</t>
        </is>
      </c>
      <c r="C71" s="24" t="inlineStr">
        <is>
          <t>(360) 230-1352</t>
        </is>
      </c>
      <c r="D71" s="24" t="inlineStr">
        <is>
          <t>Yes</t>
        </is>
      </c>
      <c r="E71" s="24" t="inlineStr">
        <is>
          <t>islandheatingac.com</t>
        </is>
      </c>
      <c r="F71" s="24" t="inlineStr">
        <is>
          <t>Professional</t>
        </is>
      </c>
      <c r="G71" s="24" t="n">
        <v>4.6</v>
      </c>
      <c r="H71" s="24" t="n">
        <v>312</v>
      </c>
      <c r="I71" s="40" t="inlineStr">
        <is>
          <t>Skip</t>
        </is>
      </c>
      <c r="J71" s="24" t="inlineStr">
        <is>
          <t>Patrick J Dipzinski (L&amp;I principal)</t>
        </is>
      </c>
      <c r="K71" s="24" t="inlineStr">
        <is>
          <t>Real branded logo, clean lead form, 40+ years in business</t>
        </is>
      </c>
      <c r="L71" s="24" t="inlineStr">
        <is>
          <t>Google Maps; WebSearch; direct site visit</t>
        </is>
      </c>
      <c r="M71" s="24" t="inlineStr">
        <is>
          <t>2026-07-02</t>
        </is>
      </c>
    </row>
    <row r="72" ht="15.75" customHeight="1" s="21">
      <c r="A72" s="24" t="inlineStr">
        <is>
          <t>Oak Harbor</t>
        </is>
      </c>
      <c r="B72" s="24" t="inlineStr">
        <is>
          <t>Trico Heating Inc</t>
        </is>
      </c>
      <c r="C72" s="24" t="inlineStr">
        <is>
          <t>(360) 675-2700</t>
        </is>
      </c>
      <c r="D72" s="24" t="inlineStr">
        <is>
          <t>No</t>
        </is>
      </c>
      <c r="E72" s="24" t="n"/>
      <c r="F72" s="24" t="inlineStr">
        <is>
          <t>N/A</t>
        </is>
      </c>
      <c r="G72" s="24" t="n">
        <v>4.7</v>
      </c>
      <c r="H72" s="24" t="n">
        <v>13</v>
      </c>
      <c r="I72" s="40" t="inlineStr">
        <is>
          <t>Skip</t>
        </is>
      </c>
      <c r="J72" s="24" t="n"/>
      <c r="K72" s="24" t="inlineStr">
        <is>
          <t>Below 30-review threshold</t>
        </is>
      </c>
      <c r="L72" s="24" t="inlineStr">
        <is>
          <t>Google Maps</t>
        </is>
      </c>
      <c r="M72" s="24" t="inlineStr">
        <is>
          <t>2026-07-02</t>
        </is>
      </c>
    </row>
    <row r="73" ht="15.75" customHeight="1" s="21">
      <c r="A73" s="24" t="inlineStr">
        <is>
          <t>Sedro-Woolley</t>
        </is>
      </c>
      <c r="B73" s="24" t="inlineStr">
        <is>
          <t>Rick's Refrigeration</t>
        </is>
      </c>
      <c r="C73" s="24" t="inlineStr">
        <is>
          <t>(360) 856-1798</t>
        </is>
      </c>
      <c r="D73" s="24" t="inlineStr">
        <is>
          <t>No</t>
        </is>
      </c>
      <c r="E73" s="24" t="n"/>
      <c r="F73" s="24" t="inlineStr">
        <is>
          <t>N/A</t>
        </is>
      </c>
      <c r="G73" s="24" t="n">
        <v>3.7</v>
      </c>
      <c r="H73" s="24" t="n">
        <v>3</v>
      </c>
      <c r="I73" s="40" t="inlineStr">
        <is>
          <t>Skip</t>
        </is>
      </c>
      <c r="J73" s="24" t="n"/>
      <c r="K73" s="24" t="inlineStr">
        <is>
          <t>Below both rating and review thresholds</t>
        </is>
      </c>
      <c r="L73" s="24" t="inlineStr">
        <is>
          <t>Google Maps</t>
        </is>
      </c>
      <c r="M73" s="24" t="inlineStr">
        <is>
          <t>2026-07-02</t>
        </is>
      </c>
    </row>
    <row r="74" ht="28.5" customHeight="1" s="21">
      <c r="A74" s="24" t="inlineStr">
        <is>
          <t>Sedro-Woolley</t>
        </is>
      </c>
      <c r="B74" s="24" t="inlineStr">
        <is>
          <t>Pacific Northwest Refrigeration &amp; Heating</t>
        </is>
      </c>
      <c r="C74" s="24" t="inlineStr">
        <is>
          <t>(360) 630-6571</t>
        </is>
      </c>
      <c r="D74" s="24" t="inlineStr">
        <is>
          <t>Yes</t>
        </is>
      </c>
      <c r="E74" s="24" t="n"/>
      <c r="F74" s="24" t="inlineStr">
        <is>
          <t>Not assessed</t>
        </is>
      </c>
      <c r="G74" s="24" t="n">
        <v>5</v>
      </c>
      <c r="H74" s="24" t="n">
        <v>1</v>
      </c>
      <c r="I74" s="40" t="inlineStr">
        <is>
          <t>Skip</t>
        </is>
      </c>
      <c r="J74" s="24" t="n"/>
      <c r="K74" s="24" t="inlineStr">
        <is>
          <t>Only 1 review - insufficient data</t>
        </is>
      </c>
      <c r="L74" s="24" t="inlineStr">
        <is>
          <t>Google Maps</t>
        </is>
      </c>
      <c r="M74" s="24" t="inlineStr">
        <is>
          <t>2026-07-02</t>
        </is>
      </c>
    </row>
    <row r="75" ht="28.5" customHeight="1" s="21">
      <c r="A75" s="24" t="inlineStr">
        <is>
          <t>Sultan</t>
        </is>
      </c>
      <c r="B75" s="24" t="inlineStr">
        <is>
          <t>Q &amp; Q Climate Systems</t>
        </is>
      </c>
      <c r="C75" s="24" t="inlineStr">
        <is>
          <t>(425) 595-0488</t>
        </is>
      </c>
      <c r="D75" s="24" t="inlineStr">
        <is>
          <t>Yes</t>
        </is>
      </c>
      <c r="E75" s="24" t="inlineStr">
        <is>
          <t>qqclimatesystemswa.com</t>
        </is>
      </c>
      <c r="F75" s="24" t="inlineStr">
        <is>
          <t>Professional</t>
        </is>
      </c>
      <c r="G75" s="24" t="n">
        <v>5</v>
      </c>
      <c r="H75" s="24" t="n">
        <v>44</v>
      </c>
      <c r="I75" s="40" t="inlineStr">
        <is>
          <t>Skip</t>
        </is>
      </c>
      <c r="J75" s="24" t="n"/>
      <c r="K75" s="24" t="inlineStr">
        <is>
          <t>Modern clean design, real CTA buttons, minor icon-font glitch but overall polished</t>
        </is>
      </c>
      <c r="L75" s="24" t="inlineStr">
        <is>
          <t>Google Maps; WebSearch; direct site visit</t>
        </is>
      </c>
      <c r="M75" s="24" t="inlineStr">
        <is>
          <t>2026-07-02</t>
        </is>
      </c>
    </row>
    <row r="76" ht="15.75" customHeight="1" s="21">
      <c r="A76" s="24" t="inlineStr">
        <is>
          <t>Camano Island</t>
        </is>
      </c>
      <c r="B76" s="24" t="inlineStr">
        <is>
          <t>Thomas Mechanical LLC</t>
        </is>
      </c>
      <c r="C76" s="24" t="inlineStr">
        <is>
          <t>(425) 905-9882</t>
        </is>
      </c>
      <c r="D76" s="24" t="inlineStr">
        <is>
          <t>Yes</t>
        </is>
      </c>
      <c r="E76" s="24" t="n"/>
      <c r="F76" s="24" t="inlineStr">
        <is>
          <t>Not assessed</t>
        </is>
      </c>
      <c r="G76" s="24" t="n">
        <v>4.4</v>
      </c>
      <c r="H76" s="24" t="n">
        <v>7</v>
      </c>
      <c r="I76" s="40" t="inlineStr">
        <is>
          <t>Skip</t>
        </is>
      </c>
      <c r="J76" s="24" t="n"/>
      <c r="K76" s="24" t="inlineStr">
        <is>
          <t>Below 30-review threshold</t>
        </is>
      </c>
      <c r="L76" s="24" t="inlineStr">
        <is>
          <t>Google Maps</t>
        </is>
      </c>
      <c r="M76" s="24" t="inlineStr">
        <is>
          <t>2026-07-02</t>
        </is>
      </c>
    </row>
    <row r="77" ht="15.75" customHeight="1" s="21">
      <c r="A77" s="24" t="inlineStr">
        <is>
          <t>Camano Island</t>
        </is>
      </c>
      <c r="B77" s="24" t="inlineStr">
        <is>
          <t>Marshall's Heating &amp; AC</t>
        </is>
      </c>
      <c r="C77" s="24" t="inlineStr">
        <is>
          <t>(360) 331-1859</t>
        </is>
      </c>
      <c r="D77" s="24" t="inlineStr">
        <is>
          <t>Yes</t>
        </is>
      </c>
      <c r="E77" s="24" t="n"/>
      <c r="F77" s="24" t="inlineStr">
        <is>
          <t>Not assessed</t>
        </is>
      </c>
      <c r="G77" s="24" t="n">
        <v>4.4</v>
      </c>
      <c r="H77" s="24" t="n">
        <v>12</v>
      </c>
      <c r="I77" s="40" t="inlineStr">
        <is>
          <t>Skip</t>
        </is>
      </c>
      <c r="J77" s="24" t="n"/>
      <c r="K77" s="24" t="inlineStr">
        <is>
          <t>Below 30-review threshold</t>
        </is>
      </c>
      <c r="L77" s="24" t="inlineStr">
        <is>
          <t>Google Maps</t>
        </is>
      </c>
      <c r="M77" s="24" t="inlineStr">
        <is>
          <t>2026-07-02</t>
        </is>
      </c>
    </row>
    <row r="78" ht="28.5" customHeight="1" s="21">
      <c r="A78" s="24" t="inlineStr">
        <is>
          <t>Anacortes</t>
        </is>
      </c>
      <c r="B78" s="24" t="inlineStr">
        <is>
          <t>LaVergne's Plumbing &amp; Heating</t>
        </is>
      </c>
      <c r="C78" s="24" t="inlineStr">
        <is>
          <t>(360) 226-2445</t>
        </is>
      </c>
      <c r="D78" s="24" t="inlineStr">
        <is>
          <t>Yes</t>
        </is>
      </c>
      <c r="E78" s="24" t="inlineStr">
        <is>
          <t>lavergneplumbing.com</t>
        </is>
      </c>
      <c r="F78" s="24" t="inlineStr">
        <is>
          <t>Professional</t>
        </is>
      </c>
      <c r="G78" s="24" t="n">
        <v>4.6</v>
      </c>
      <c r="H78" s="24" t="n">
        <v>303</v>
      </c>
      <c r="I78" s="40" t="inlineStr">
        <is>
          <t>Skip</t>
        </is>
      </c>
      <c r="J78" s="24" t="n"/>
      <c r="K78" s="24" t="inlineStr">
        <is>
          <t>Clean modern site, branded logo, family-owned since 1951</t>
        </is>
      </c>
      <c r="L78" s="24" t="inlineStr">
        <is>
          <t>Google Maps; WebSearch; direct site visit</t>
        </is>
      </c>
      <c r="M78" s="24" t="inlineStr">
        <is>
          <t>2026-07-02</t>
        </is>
      </c>
    </row>
    <row r="79" ht="15.75" customHeight="1" s="21">
      <c r="A79" s="24" t="inlineStr">
        <is>
          <t>Anacortes</t>
        </is>
      </c>
      <c r="B79" s="24" t="inlineStr">
        <is>
          <t>Washington Air Conditioning Systems</t>
        </is>
      </c>
      <c r="C79" s="24" t="inlineStr">
        <is>
          <t>(360) 298-7942</t>
        </is>
      </c>
      <c r="D79" s="24" t="inlineStr">
        <is>
          <t>No</t>
        </is>
      </c>
      <c r="E79" s="24" t="n"/>
      <c r="F79" s="24" t="inlineStr">
        <is>
          <t>N/A</t>
        </is>
      </c>
      <c r="G79" s="24" t="n">
        <v>5</v>
      </c>
      <c r="H79" s="24" t="n">
        <v>2</v>
      </c>
      <c r="I79" s="40" t="inlineStr">
        <is>
          <t>Skip</t>
        </is>
      </c>
      <c r="J79" s="24" t="n"/>
      <c r="K79" s="24" t="inlineStr">
        <is>
          <t>Only 2 reviews - insufficient data</t>
        </is>
      </c>
      <c r="L79" s="24" t="inlineStr">
        <is>
          <t>Google Maps</t>
        </is>
      </c>
      <c r="M79" s="24" t="inlineStr">
        <is>
          <t>2026-07-02</t>
        </is>
      </c>
    </row>
    <row r="80" ht="28.5" customHeight="1" s="21">
      <c r="A80" s="24" t="inlineStr">
        <is>
          <t>Anacortes</t>
        </is>
      </c>
      <c r="B80" s="24" t="inlineStr">
        <is>
          <t>Jacobson Heating &amp; Air Conditioning LLC</t>
        </is>
      </c>
      <c r="C80" s="24" t="inlineStr">
        <is>
          <t>(360) 855-1025</t>
        </is>
      </c>
      <c r="D80" s="24" t="inlineStr">
        <is>
          <t>No</t>
        </is>
      </c>
      <c r="E80" s="24" t="n"/>
      <c r="F80" s="24" t="inlineStr">
        <is>
          <t>N/A</t>
        </is>
      </c>
      <c r="G80" s="24" t="n">
        <v>3.5</v>
      </c>
      <c r="H80" s="24" t="n">
        <v>8</v>
      </c>
      <c r="I80" s="40" t="inlineStr">
        <is>
          <t>Skip</t>
        </is>
      </c>
      <c r="J80" s="24" t="n"/>
      <c r="K80" s="24" t="inlineStr">
        <is>
          <t>Below both rating and review thresholds</t>
        </is>
      </c>
      <c r="L80" s="24" t="inlineStr">
        <is>
          <t>Google Maps</t>
        </is>
      </c>
      <c r="M80" s="24" t="inlineStr">
        <is>
          <t>2026-07-02</t>
        </is>
      </c>
    </row>
    <row r="81" ht="28.5" customHeight="1" s="21">
      <c r="A81" s="24" t="inlineStr">
        <is>
          <t>Mukilteo</t>
        </is>
      </c>
      <c r="B81" s="24" t="inlineStr">
        <is>
          <t>Legacy One Heating</t>
        </is>
      </c>
      <c r="C81" s="24" t="inlineStr">
        <is>
          <t>(425) 906-3447</t>
        </is>
      </c>
      <c r="D81" s="24" t="inlineStr">
        <is>
          <t>Yes</t>
        </is>
      </c>
      <c r="E81" s="24" t="inlineStr">
        <is>
          <t>legacyoneheating.net</t>
        </is>
      </c>
      <c r="F81" s="24" t="inlineStr">
        <is>
          <t>Professional</t>
        </is>
      </c>
      <c r="G81" s="24" t="n">
        <v>4.7</v>
      </c>
      <c r="H81" s="24" t="n">
        <v>69</v>
      </c>
      <c r="I81" s="40" t="inlineStr">
        <is>
          <t>Skip</t>
        </is>
      </c>
      <c r="J81" s="24" t="n"/>
      <c r="K81" s="24" t="inlineStr">
        <is>
          <t>Branded logo, decent modern design (two-tier nav is a minor knock but not enough alone)</t>
        </is>
      </c>
      <c r="L81" s="24" t="inlineStr">
        <is>
          <t>Google Maps; WebSearch; direct site visit</t>
        </is>
      </c>
      <c r="M81" s="24" t="inlineStr">
        <is>
          <t>2026-07-02</t>
        </is>
      </c>
    </row>
    <row r="82" ht="15.75" customHeight="1" s="21">
      <c r="A82" s="24" t="inlineStr">
        <is>
          <t>Mukilteo</t>
        </is>
      </c>
      <c r="B82" s="24" t="inlineStr">
        <is>
          <t>Chill Mechanical</t>
        </is>
      </c>
      <c r="C82" s="24" t="inlineStr">
        <is>
          <t>(253) 424-4218</t>
        </is>
      </c>
      <c r="D82" s="24" t="inlineStr">
        <is>
          <t>Yes</t>
        </is>
      </c>
      <c r="E82" s="24" t="n"/>
      <c r="F82" s="24" t="inlineStr">
        <is>
          <t>Not assessed</t>
        </is>
      </c>
      <c r="G82" s="24" t="n">
        <v>5</v>
      </c>
      <c r="H82" s="24" t="n">
        <v>6</v>
      </c>
      <c r="I82" s="40" t="inlineStr">
        <is>
          <t>Skip</t>
        </is>
      </c>
      <c r="J82" s="24" t="n"/>
      <c r="K82" s="24" t="inlineStr">
        <is>
          <t>Below 30-review threshold</t>
        </is>
      </c>
      <c r="L82" s="24" t="inlineStr">
        <is>
          <t>Google Maps</t>
        </is>
      </c>
      <c r="M82" s="24" t="inlineStr">
        <is>
          <t>2026-07-02</t>
        </is>
      </c>
    </row>
    <row r="83" ht="28.5" customHeight="1" s="21">
      <c r="A83" s="24" t="inlineStr">
        <is>
          <t>South Whidbey (Freeland)</t>
        </is>
      </c>
      <c r="B83" s="24" t="inlineStr">
        <is>
          <t>Energywise Ductless Heat Pumps LLC</t>
        </is>
      </c>
      <c r="C83" s="24" t="inlineStr">
        <is>
          <t>(360) 661-7191</t>
        </is>
      </c>
      <c r="D83" s="24" t="inlineStr">
        <is>
          <t>Yes</t>
        </is>
      </c>
      <c r="E83" s="24" t="inlineStr">
        <is>
          <t>energywisedhp.com</t>
        </is>
      </c>
      <c r="F83" s="24" t="inlineStr">
        <is>
          <t>Professional</t>
        </is>
      </c>
      <c r="G83" s="24" t="n">
        <v>5</v>
      </c>
      <c r="H83" s="24" t="n">
        <v>50</v>
      </c>
      <c r="I83" s="40" t="inlineStr">
        <is>
          <t>Skip</t>
        </is>
      </c>
      <c r="J83" s="24" t="n"/>
      <c r="K83" s="24" t="inlineStr">
        <is>
          <t>Clean modern design, real CTAs, based in Clinton WA</t>
        </is>
      </c>
      <c r="L83" s="24" t="inlineStr">
        <is>
          <t>Google Maps; WebSearch; direct site visit</t>
        </is>
      </c>
      <c r="M83" s="24" t="inlineStr">
        <is>
          <t>2026-07-02</t>
        </is>
      </c>
    </row>
    <row r="84" ht="28.5" customHeight="1" s="21">
      <c r="A84" s="24" t="inlineStr">
        <is>
          <t>South Whidbey (Freeland)</t>
        </is>
      </c>
      <c r="B84" s="24" t="inlineStr">
        <is>
          <t>South Whidbey Services LLC</t>
        </is>
      </c>
      <c r="C84" s="24" t="inlineStr">
        <is>
          <t>(360) 499-6543</t>
        </is>
      </c>
      <c r="D84" s="24" t="inlineStr">
        <is>
          <t>Yes</t>
        </is>
      </c>
      <c r="E84" s="24" t="n"/>
      <c r="F84" s="24" t="inlineStr">
        <is>
          <t>Not assessed</t>
        </is>
      </c>
      <c r="G84" s="24" t="n">
        <v>5</v>
      </c>
      <c r="H84" s="24" t="n">
        <v>2</v>
      </c>
      <c r="I84" s="40" t="inlineStr">
        <is>
          <t>Skip</t>
        </is>
      </c>
      <c r="J84" s="24" t="n"/>
      <c r="K84" s="24" t="inlineStr">
        <is>
          <t>Only 2 reviews - insufficient data</t>
        </is>
      </c>
      <c r="L84" s="24" t="inlineStr">
        <is>
          <t>Google Maps</t>
        </is>
      </c>
      <c r="M84" s="24" t="inlineStr">
        <is>
          <t>2026-07-02</t>
        </is>
      </c>
    </row>
    <row r="85" ht="28.5" customHeight="1" s="21">
      <c r="A85" s="24" t="inlineStr">
        <is>
          <t>South Whidbey (Langley)</t>
        </is>
      </c>
      <c r="B85" s="24" t="inlineStr">
        <is>
          <t>AP Mechanical</t>
        </is>
      </c>
      <c r="C85" s="24" t="inlineStr">
        <is>
          <t>(360) 321-6914</t>
        </is>
      </c>
      <c r="D85" s="24" t="inlineStr">
        <is>
          <t>Yes</t>
        </is>
      </c>
      <c r="E85" s="24" t="n"/>
      <c r="F85" s="24" t="inlineStr">
        <is>
          <t>Not assessed</t>
        </is>
      </c>
      <c r="G85" s="24" t="n">
        <v>5</v>
      </c>
      <c r="H85" s="24" t="n">
        <v>5</v>
      </c>
      <c r="I85" s="40" t="inlineStr">
        <is>
          <t>Skip</t>
        </is>
      </c>
      <c r="J85" s="24" t="n"/>
      <c r="K85" s="24" t="inlineStr">
        <is>
          <t>Below 30-review threshold</t>
        </is>
      </c>
      <c r="L85" s="24" t="inlineStr">
        <is>
          <t>Google Maps</t>
        </is>
      </c>
      <c r="M85" s="24" t="inlineStr">
        <is>
          <t>2026-07-02</t>
        </is>
      </c>
    </row>
    <row r="86" ht="28.5" customHeight="1" s="21">
      <c r="A86" s="24" t="inlineStr">
        <is>
          <t>Bellingham</t>
        </is>
      </c>
      <c r="B86" s="24" t="inlineStr">
        <is>
          <t>Marr's Heating, AC, Plumbing &amp; Electrical</t>
        </is>
      </c>
      <c r="C86" s="24" t="inlineStr">
        <is>
          <t>(855) 202-7062</t>
        </is>
      </c>
      <c r="D86" s="24" t="inlineStr">
        <is>
          <t>Yes</t>
        </is>
      </c>
      <c r="E86" s="24" t="n"/>
      <c r="F86" s="24" t="inlineStr">
        <is>
          <t>Not deeply assessed (very large)</t>
        </is>
      </c>
      <c r="G86" s="24" t="n">
        <v>4.9</v>
      </c>
      <c r="H86" s="24" t="n">
        <v>1952</v>
      </c>
      <c r="I86" s="40" t="inlineStr">
        <is>
          <t>Skip</t>
        </is>
      </c>
      <c r="J86" s="24" t="n"/>
      <c r="K86" s="24" t="inlineStr">
        <is>
          <t>Very large regional multi-service company</t>
        </is>
      </c>
      <c r="L86" s="24" t="inlineStr">
        <is>
          <t>Google Maps</t>
        </is>
      </c>
      <c r="M86" s="24" t="inlineStr">
        <is>
          <t>2026-07-02</t>
        </is>
      </c>
    </row>
    <row r="87" ht="28.5" customHeight="1" s="21">
      <c r="A87" s="24" t="inlineStr">
        <is>
          <t>Bellingham</t>
        </is>
      </c>
      <c r="B87" s="24" t="inlineStr">
        <is>
          <t>West Mechanical Heating Cooling Electrical, Plumbing</t>
        </is>
      </c>
      <c r="C87" s="24" t="inlineStr">
        <is>
          <t>(360) 734-7599</t>
        </is>
      </c>
      <c r="D87" s="24" t="inlineStr">
        <is>
          <t>Yes</t>
        </is>
      </c>
      <c r="E87" s="24" t="n"/>
      <c r="F87" s="24" t="inlineStr">
        <is>
          <t>Not deeply assessed (very large)</t>
        </is>
      </c>
      <c r="G87" s="24" t="n">
        <v>4.9</v>
      </c>
      <c r="H87" s="24" t="n">
        <v>1329</v>
      </c>
      <c r="I87" s="40" t="inlineStr">
        <is>
          <t>Skip</t>
        </is>
      </c>
      <c r="J87" s="24" t="n"/>
      <c r="K87" s="24" t="inlineStr">
        <is>
          <t>Very large regional multi-service company</t>
        </is>
      </c>
      <c r="L87" s="24" t="inlineStr">
        <is>
          <t>Google Maps</t>
        </is>
      </c>
      <c r="M87" s="24" t="inlineStr">
        <is>
          <t>2026-07-02</t>
        </is>
      </c>
    </row>
    <row r="88" ht="43.5" customHeight="1" s="21">
      <c r="A88" s="24" t="inlineStr">
        <is>
          <t>Bellingham</t>
        </is>
      </c>
      <c r="B88" s="24" t="inlineStr">
        <is>
          <t>Feller Heating &amp; Air Conditioning</t>
        </is>
      </c>
      <c r="C88" s="24" t="inlineStr">
        <is>
          <t>(360) 733-4827</t>
        </is>
      </c>
      <c r="D88" s="24" t="inlineStr">
        <is>
          <t>Yes</t>
        </is>
      </c>
      <c r="E88" s="24" t="inlineStr">
        <is>
          <t>fellerheating.com</t>
        </is>
      </c>
      <c r="F88" s="24" t="inlineStr">
        <is>
          <t>Professional</t>
        </is>
      </c>
      <c r="G88" s="24" t="n">
        <v>4.8</v>
      </c>
      <c r="H88" s="24" t="n">
        <v>274</v>
      </c>
      <c r="I88" s="40" t="inlineStr">
        <is>
          <t>Skip</t>
        </is>
      </c>
      <c r="J88" s="24" t="inlineStr">
        <is>
          <t>Steve M Felbinger (L&amp;I principal)</t>
        </is>
      </c>
      <c r="K88" s="24" t="inlineStr">
        <is>
          <t>Modern redesigned site (was flagged dated in an earlier internal review, appears since updated) - clean layout, real domain email, clear CTAs</t>
        </is>
      </c>
      <c r="L88" s="24" t="inlineStr">
        <is>
          <t>Google Maps; WebSearch; direct site visit</t>
        </is>
      </c>
      <c r="M88" s="24" t="inlineStr">
        <is>
          <t>2026-07-02</t>
        </is>
      </c>
    </row>
    <row r="89" ht="28.5" customHeight="1" s="21">
      <c r="A89" s="24" t="inlineStr">
        <is>
          <t>Bellingham</t>
        </is>
      </c>
      <c r="B89" s="24" t="inlineStr">
        <is>
          <t>Clean Air Heating &amp; Cooling</t>
        </is>
      </c>
      <c r="C89" s="24" t="inlineStr">
        <is>
          <t>(360) 398-9400</t>
        </is>
      </c>
      <c r="D89" s="24" t="inlineStr">
        <is>
          <t>Yes</t>
        </is>
      </c>
      <c r="E89" s="24" t="n"/>
      <c r="F89" s="24" t="inlineStr">
        <is>
          <t>Not deeply assessed (very large)</t>
        </is>
      </c>
      <c r="G89" s="24" t="n">
        <v>4.9</v>
      </c>
      <c r="H89" s="24" t="n">
        <v>857</v>
      </c>
      <c r="I89" s="40" t="inlineStr">
        <is>
          <t>Skip</t>
        </is>
      </c>
      <c r="J89" s="24" t="n"/>
      <c r="K89" s="24" t="inlineStr">
        <is>
          <t>Very large regional company</t>
        </is>
      </c>
      <c r="L89" s="24" t="inlineStr">
        <is>
          <t>Google Maps</t>
        </is>
      </c>
      <c r="M89" s="24" t="inlineStr">
        <is>
          <t>2026-07-02</t>
        </is>
      </c>
    </row>
    <row r="90" ht="115.5" customHeight="1" s="21">
      <c r="A90" s="26" t="inlineStr">
        <is>
          <t>Snohomish</t>
        </is>
      </c>
      <c r="B90" s="26" t="inlineStr">
        <is>
          <t>Glacier Heating &amp; Cooling</t>
        </is>
      </c>
      <c r="C90" s="26" t="inlineStr">
        <is>
          <t>(425) 422-8861</t>
        </is>
      </c>
      <c r="D90" s="26" t="inlineStr">
        <is>
          <t>Yes</t>
        </is>
      </c>
      <c r="E90" s="26" t="inlineStr">
        <is>
          <t>glacierheating.com</t>
        </is>
      </c>
      <c r="F90" s="26" t="inlineStr">
        <is>
          <t>Professional - modern design, real branded logo (mountain/bear mascot), real photo of their own branded box truck, clean layout, embedded Google rating badge</t>
        </is>
      </c>
      <c r="G90" s="26" t="n">
        <v>5</v>
      </c>
      <c r="H90" s="26" t="n">
        <v>29</v>
      </c>
      <c r="I90" s="42" t="inlineStr">
        <is>
          <t>Skip</t>
        </is>
      </c>
      <c r="J90" s="26" t="n"/>
      <c r="K90" s="26" t="inlineStr">
        <is>
          <t>29 reviews clears the new 25+ bar, but site is professional and modern - not a realistic client</t>
        </is>
      </c>
      <c r="L90" s="26" t="inlineStr">
        <is>
          <t>Google Maps</t>
        </is>
      </c>
      <c r="M90" s="26" t="inlineStr">
        <is>
          <t>2026-07-02</t>
        </is>
      </c>
    </row>
    <row r="91" ht="150" customHeight="1" s="21">
      <c r="A91" s="26" t="inlineStr">
        <is>
          <t>Bellingham</t>
        </is>
      </c>
      <c r="B91" s="26" t="inlineStr">
        <is>
          <t>LSM Heating, Plumbing, Electric, Inc.</t>
        </is>
      </c>
      <c r="C91" s="26" t="inlineStr">
        <is>
          <t>(360) 354-3991</t>
        </is>
      </c>
      <c r="D91" s="26" t="inlineStr">
        <is>
          <t>Yes</t>
        </is>
      </c>
      <c r="E91" s="26" t="inlineStr">
        <is>
          <t>lyndensheetmetal.com</t>
        </is>
      </c>
      <c r="F91" s="26" t="inlineStr">
        <is>
          <t>Professional - modern, well-established multi-service site (86 years in business, 60+ service vehicles, 60+ technicians, financing options, warranties, testimonials, brand partnerships). Large regional company, not a realistic small-business client.</t>
        </is>
      </c>
      <c r="G91" s="26" t="n">
        <v>5</v>
      </c>
      <c r="H91" s="26" t="n">
        <v>27</v>
      </c>
      <c r="I91" s="42" t="inlineStr">
        <is>
          <t>Skip</t>
        </is>
      </c>
      <c r="J91" s="26" t="n"/>
      <c r="K91" s="26" t="inlineStr">
        <is>
          <t>27 reviews clears the new 25+ bar, but this is a large, established multi-county operation (since 1940) with a professional, modern site - too large/corporate to be a realistic ProBook client</t>
        </is>
      </c>
      <c r="L91" s="26" t="inlineStr">
        <is>
          <t>Google Maps</t>
        </is>
      </c>
      <c r="M91" s="26" t="inlineStr">
        <is>
          <t>2026-07-02</t>
        </is>
      </c>
    </row>
    <row r="92" ht="43.5" customHeight="1" s="21">
      <c r="A92" s="26" t="inlineStr">
        <is>
          <t>Bremerton</t>
        </is>
      </c>
      <c r="B92" s="26" t="inlineStr">
        <is>
          <t>Advanced Heating &amp; Cooling, Inc.</t>
        </is>
      </c>
      <c r="C92" s="26" t="inlineStr">
        <is>
          <t>(833) 241-5723</t>
        </is>
      </c>
      <c r="D92" s="26" t="inlineStr">
        <is>
          <t>Yes</t>
        </is>
      </c>
      <c r="E92" s="26" t="n"/>
      <c r="F92" s="26" t="inlineStr">
        <is>
          <t>Professional (large chain, 24hr, book online)</t>
        </is>
      </c>
      <c r="G92" s="26" t="n">
        <v>4.8</v>
      </c>
      <c r="H92" s="26" t="n">
        <v>483</v>
      </c>
      <c r="I92" s="42" t="inlineStr">
        <is>
          <t>Skip</t>
        </is>
      </c>
      <c r="J92" s="26" t="n"/>
      <c r="K92" s="26" t="inlineStr">
        <is>
          <t>Large established operation, 483 reviews - not a realistic small-business client</t>
        </is>
      </c>
      <c r="L92" s="26" t="inlineStr">
        <is>
          <t>Google Maps</t>
        </is>
      </c>
      <c r="M92" s="26" t="inlineStr">
        <is>
          <t>2026-07-02</t>
        </is>
      </c>
    </row>
    <row r="93" ht="28.5" customHeight="1" s="21">
      <c r="A93" s="26" t="inlineStr">
        <is>
          <t>Bremerton</t>
        </is>
      </c>
      <c r="B93" s="26" t="inlineStr">
        <is>
          <t>Home Comfort Alliance - Bremerton</t>
        </is>
      </c>
      <c r="C93" s="26" t="inlineStr">
        <is>
          <t>(360) 209-1919</t>
        </is>
      </c>
      <c r="D93" s="26" t="inlineStr">
        <is>
          <t>Yes</t>
        </is>
      </c>
      <c r="E93" s="26" t="n"/>
      <c r="F93" s="26" t="inlineStr">
        <is>
          <t>Professional (large chain)</t>
        </is>
      </c>
      <c r="G93" s="26" t="n">
        <v>4.8</v>
      </c>
      <c r="H93" s="26" t="n">
        <v>420</v>
      </c>
      <c r="I93" s="42" t="inlineStr">
        <is>
          <t>Skip</t>
        </is>
      </c>
      <c r="J93" s="26" t="n"/>
      <c r="K93" s="26" t="inlineStr">
        <is>
          <t>Large established regional franchise-style operation</t>
        </is>
      </c>
      <c r="L93" s="26" t="inlineStr">
        <is>
          <t>Google Maps</t>
        </is>
      </c>
      <c r="M93" s="26" t="inlineStr">
        <is>
          <t>2026-07-02</t>
        </is>
      </c>
    </row>
    <row r="94" ht="28.5" customHeight="1" s="21">
      <c r="A94" s="26" t="inlineStr">
        <is>
          <t>Bremerton</t>
        </is>
      </c>
      <c r="B94" s="26" t="inlineStr">
        <is>
          <t>Peninsula Heating And Cooling</t>
        </is>
      </c>
      <c r="C94" s="26" t="inlineStr">
        <is>
          <t>(360) 613-5866</t>
        </is>
      </c>
      <c r="D94" s="26" t="inlineStr">
        <is>
          <t>Yes</t>
        </is>
      </c>
      <c r="E94" s="26" t="n"/>
      <c r="F94" s="26" t="inlineStr">
        <is>
          <t>Professional (large established)</t>
        </is>
      </c>
      <c r="G94" s="26" t="n">
        <v>4.8</v>
      </c>
      <c r="H94" s="26" t="n">
        <v>436</v>
      </c>
      <c r="I94" s="42" t="inlineStr">
        <is>
          <t>Skip</t>
        </is>
      </c>
      <c r="J94" s="26" t="n"/>
      <c r="K94" s="26" t="inlineStr">
        <is>
          <t>Large review count, established</t>
        </is>
      </c>
      <c r="L94" s="26" t="inlineStr">
        <is>
          <t>Google Maps</t>
        </is>
      </c>
      <c r="M94" s="26" t="inlineStr">
        <is>
          <t>2026-07-02</t>
        </is>
      </c>
    </row>
    <row r="95" ht="28.5" customHeight="1" s="21">
      <c r="A95" s="26" t="inlineStr">
        <is>
          <t>Bremerton</t>
        </is>
      </c>
      <c r="B95" s="26" t="inlineStr">
        <is>
          <t>Dana's Heating &amp; Cooling, Inc.</t>
        </is>
      </c>
      <c r="C95" s="26" t="inlineStr">
        <is>
          <t>(360) 226-7369</t>
        </is>
      </c>
      <c r="D95" s="26" t="inlineStr">
        <is>
          <t>Yes</t>
        </is>
      </c>
      <c r="E95" s="26" t="n"/>
      <c r="F95" s="26" t="inlineStr">
        <is>
          <t>Professional (huge chain)</t>
        </is>
      </c>
      <c r="G95" s="26" t="n">
        <v>4.9</v>
      </c>
      <c r="H95" s="26" t="n">
        <v>3320</v>
      </c>
      <c r="I95" s="42" t="inlineStr">
        <is>
          <t>Skip</t>
        </is>
      </c>
      <c r="J95" s="26" t="n"/>
      <c r="K95" s="26" t="inlineStr">
        <is>
          <t>3,320 reviews - major established operation</t>
        </is>
      </c>
      <c r="L95" s="26" t="inlineStr">
        <is>
          <t>Google Maps</t>
        </is>
      </c>
      <c r="M95" s="26" t="inlineStr">
        <is>
          <t>2026-07-02</t>
        </is>
      </c>
    </row>
    <row r="96" ht="28.5" customHeight="1" s="21">
      <c r="A96" s="26" t="inlineStr">
        <is>
          <t>Bremerton</t>
        </is>
      </c>
      <c r="B96" s="26" t="inlineStr">
        <is>
          <t>Economy Hearth &amp; Home Inc.</t>
        </is>
      </c>
      <c r="C96" s="26" t="inlineStr">
        <is>
          <t>(360) 692-8709</t>
        </is>
      </c>
      <c r="D96" s="26" t="inlineStr">
        <is>
          <t>Yes</t>
        </is>
      </c>
      <c r="E96" s="26" t="n"/>
      <c r="F96" s="26" t="inlineStr">
        <is>
          <t>Professional (large established)</t>
        </is>
      </c>
      <c r="G96" s="26" t="n">
        <v>4.8</v>
      </c>
      <c r="H96" s="26" t="n">
        <v>356</v>
      </c>
      <c r="I96" s="42" t="inlineStr">
        <is>
          <t>Skip</t>
        </is>
      </c>
      <c r="J96" s="26" t="n"/>
      <c r="K96" s="26" t="inlineStr">
        <is>
          <t>Large review count, established; also serves Silverdale</t>
        </is>
      </c>
      <c r="L96" s="26" t="inlineStr">
        <is>
          <t>Google Maps</t>
        </is>
      </c>
      <c r="M96" s="26" t="inlineStr">
        <is>
          <t>2026-07-02</t>
        </is>
      </c>
    </row>
    <row r="97" ht="43.5" customHeight="1" s="21">
      <c r="A97" s="26" t="inlineStr">
        <is>
          <t>Bremerton</t>
        </is>
      </c>
      <c r="B97" s="26" t="inlineStr">
        <is>
          <t>Randy's Heating</t>
        </is>
      </c>
      <c r="C97" s="26" t="inlineStr">
        <is>
          <t>(360) 621-6915</t>
        </is>
      </c>
      <c r="D97" s="26" t="inlineStr">
        <is>
          <t>Yes</t>
        </is>
      </c>
      <c r="E97" s="26" t="inlineStr">
        <is>
          <t>randysheating.repair</t>
        </is>
      </c>
      <c r="F97" s="26" t="inlineStr">
        <is>
          <t>Professional - modern financing CTA, clean branded design</t>
        </is>
      </c>
      <c r="G97" s="26" t="n">
        <v>4.9</v>
      </c>
      <c r="H97" s="26" t="n">
        <v>180</v>
      </c>
      <c r="I97" s="42" t="inlineStr">
        <is>
          <t>Skip</t>
        </is>
      </c>
      <c r="J97" s="26" t="n"/>
      <c r="K97" s="26" t="inlineStr">
        <is>
          <t>Professional modern site</t>
        </is>
      </c>
      <c r="L97" s="26" t="inlineStr">
        <is>
          <t>Google Maps; WebSearch</t>
        </is>
      </c>
      <c r="M97" s="26" t="inlineStr">
        <is>
          <t>2026-07-02</t>
        </is>
      </c>
    </row>
    <row r="98" ht="72" customHeight="1" s="21">
      <c r="A98" s="26" t="inlineStr">
        <is>
          <t>Bremerton</t>
        </is>
      </c>
      <c r="B98" s="26" t="inlineStr">
        <is>
          <t>JET Heating and Cooling</t>
        </is>
      </c>
      <c r="C98" s="26" t="inlineStr">
        <is>
          <t>(360) 813-1288</t>
        </is>
      </c>
      <c r="D98" s="26" t="inlineStr">
        <is>
          <t>Yes</t>
        </is>
      </c>
      <c r="E98" s="26" t="inlineStr">
        <is>
          <t>jetheatingandcooling.com</t>
        </is>
      </c>
      <c r="F98" s="26" t="inlineStr">
        <is>
          <t>Professional - modern site, financing CTA; only 1 red flag (gmail contact) - not enough to flag Warm</t>
        </is>
      </c>
      <c r="G98" s="26" t="n">
        <v>4.7</v>
      </c>
      <c r="H98" s="26" t="n">
        <v>127</v>
      </c>
      <c r="I98" s="42" t="inlineStr">
        <is>
          <t>Skip</t>
        </is>
      </c>
      <c r="J98" s="26" t="n"/>
      <c r="K98" s="26" t="inlineStr">
        <is>
          <t>Professional site, single red flag not enough for Warm</t>
        </is>
      </c>
      <c r="L98" s="26" t="inlineStr">
        <is>
          <t>Google Maps; WebSearch</t>
        </is>
      </c>
      <c r="M98" s="26" t="inlineStr">
        <is>
          <t>2026-07-02</t>
        </is>
      </c>
    </row>
    <row r="99" ht="72" customHeight="1" s="21">
      <c r="A99" s="26" t="inlineStr">
        <is>
          <t>Port Orchard</t>
        </is>
      </c>
      <c r="B99" s="26" t="inlineStr">
        <is>
          <t>Air Masters Heating &amp; Cooling</t>
        </is>
      </c>
      <c r="C99" s="26" t="inlineStr">
        <is>
          <t>(360) 895-2527</t>
        </is>
      </c>
      <c r="D99" s="26" t="inlineStr">
        <is>
          <t>Yes</t>
        </is>
      </c>
      <c r="E99" s="26" t="inlineStr">
        <is>
          <t>airmastersheating.com</t>
        </is>
      </c>
      <c r="F99" s="26" t="inlineStr">
        <is>
          <t>Professional - brand-partner logos (Lennox/Mitsubishi/Diamond Contractor), real team/van photo</t>
        </is>
      </c>
      <c r="G99" s="26" t="n">
        <v>4.8</v>
      </c>
      <c r="H99" s="26" t="n">
        <v>161</v>
      </c>
      <c r="I99" s="42" t="inlineStr">
        <is>
          <t>Skip</t>
        </is>
      </c>
      <c r="J99" s="26" t="inlineStr">
        <is>
          <t>Mark A Timmerman (L&amp;I principal)</t>
        </is>
      </c>
      <c r="K99" s="26" t="inlineStr">
        <is>
          <t>Professional site, 11-50 employees per LinkedIn</t>
        </is>
      </c>
      <c r="L99" s="26" t="inlineStr">
        <is>
          <t>Google Maps; WebSearch</t>
        </is>
      </c>
      <c r="M99" s="26" t="inlineStr">
        <is>
          <t>2026-07-02</t>
        </is>
      </c>
    </row>
    <row r="100" ht="43.5" customHeight="1" s="21">
      <c r="A100" s="26" t="inlineStr">
        <is>
          <t>Port Orchard</t>
        </is>
      </c>
      <c r="B100" s="26" t="inlineStr">
        <is>
          <t>Gold Mountain Air</t>
        </is>
      </c>
      <c r="C100" s="26" t="inlineStr">
        <is>
          <t>(360) 228-8545</t>
        </is>
      </c>
      <c r="D100" s="26" t="inlineStr">
        <is>
          <t>Yes</t>
        </is>
      </c>
      <c r="E100" s="26" t="inlineStr">
        <is>
          <t>goldmountainair.com</t>
        </is>
      </c>
      <c r="F100" s="26" t="inlineStr">
        <is>
          <t>Professional - modern branded site, real work photo, clean nav</t>
        </is>
      </c>
      <c r="G100" s="26" t="n">
        <v>4.9</v>
      </c>
      <c r="H100" s="26" t="n">
        <v>133</v>
      </c>
      <c r="I100" s="42" t="inlineStr">
        <is>
          <t>Skip</t>
        </is>
      </c>
      <c r="J100" s="26" t="n"/>
      <c r="K100" s="26" t="inlineStr">
        <is>
          <t>Professional site</t>
        </is>
      </c>
      <c r="L100" s="26" t="inlineStr">
        <is>
          <t>Google Maps; WebSearch</t>
        </is>
      </c>
      <c r="M100" s="26" t="inlineStr">
        <is>
          <t>2026-07-02</t>
        </is>
      </c>
    </row>
    <row r="101" ht="15.75" customHeight="1" s="21">
      <c r="A101" s="26" t="inlineStr">
        <is>
          <t>Port Orchard</t>
        </is>
      </c>
      <c r="B101" s="26" t="inlineStr">
        <is>
          <t>Smart Climate HVAC</t>
        </is>
      </c>
      <c r="C101" s="26" t="inlineStr">
        <is>
          <t>(360) 622-0103</t>
        </is>
      </c>
      <c r="D101" s="26" t="inlineStr">
        <is>
          <t>Yes</t>
        </is>
      </c>
      <c r="E101" s="26" t="n"/>
      <c r="F101" s="26" t="inlineStr">
        <is>
          <t>Too new to assess</t>
        </is>
      </c>
      <c r="G101" s="26" t="n">
        <v>5</v>
      </c>
      <c r="H101" s="26" t="n">
        <v>2</v>
      </c>
      <c r="I101" s="42" t="inlineStr">
        <is>
          <t>Skip</t>
        </is>
      </c>
      <c r="J101" s="26" t="n"/>
      <c r="K101" s="26" t="inlineStr">
        <is>
          <t>Too few reviews/too new</t>
        </is>
      </c>
      <c r="L101" s="26" t="inlineStr">
        <is>
          <t>Google Maps</t>
        </is>
      </c>
      <c r="M101" s="26" t="inlineStr">
        <is>
          <t>2026-07-02</t>
        </is>
      </c>
    </row>
    <row r="102" ht="43.5" customHeight="1" s="21">
      <c r="A102" s="26" t="inlineStr">
        <is>
          <t>Poulsbo</t>
        </is>
      </c>
      <c r="B102" s="26" t="inlineStr">
        <is>
          <t>Eagle Pipe Heating &amp; Air</t>
        </is>
      </c>
      <c r="C102" s="26" t="inlineStr">
        <is>
          <t>(206) 765-6851</t>
        </is>
      </c>
      <c r="D102" s="26" t="inlineStr">
        <is>
          <t>Yes</t>
        </is>
      </c>
      <c r="E102" s="26" t="inlineStr">
        <is>
          <t>eaglepipemechanical.com</t>
        </is>
      </c>
      <c r="F102" s="26" t="inlineStr">
        <is>
          <t>Professional - modern site, trust badge, clean branded nav</t>
        </is>
      </c>
      <c r="G102" s="26" t="n">
        <v>4.9</v>
      </c>
      <c r="H102" s="26" t="n">
        <v>535</v>
      </c>
      <c r="I102" s="42" t="inlineStr">
        <is>
          <t>Skip</t>
        </is>
      </c>
      <c r="J102" s="26" t="n"/>
      <c r="K102" s="26" t="inlineStr">
        <is>
          <t>Large established operation, 40+ years</t>
        </is>
      </c>
      <c r="L102" s="26" t="inlineStr">
        <is>
          <t>Google Maps; WebSearch</t>
        </is>
      </c>
      <c r="M102" s="26" t="inlineStr">
        <is>
          <t>2026-07-02</t>
        </is>
      </c>
    </row>
    <row r="103" ht="57.75" customHeight="1" s="21">
      <c r="A103" s="26" t="inlineStr">
        <is>
          <t>Poulsbo</t>
        </is>
      </c>
      <c r="B103" s="26" t="inlineStr">
        <is>
          <t>Derr Heating &amp; Cooling</t>
        </is>
      </c>
      <c r="C103" s="26" t="inlineStr">
        <is>
          <t>(564) 222-0717</t>
        </is>
      </c>
      <c r="D103" s="26" t="inlineStr">
        <is>
          <t>Yes</t>
        </is>
      </c>
      <c r="E103" s="26" t="inlineStr">
        <is>
          <t>derrheating.com</t>
        </is>
      </c>
      <c r="F103" s="26" t="inlineStr">
        <is>
          <t>Professional - modern site, financing link, rated badge, chat widget</t>
        </is>
      </c>
      <c r="G103" s="26" t="n">
        <v>4.9</v>
      </c>
      <c r="H103" s="26" t="n">
        <v>47</v>
      </c>
      <c r="I103" s="42" t="inlineStr">
        <is>
          <t>Skip</t>
        </is>
      </c>
      <c r="J103" s="26" t="n"/>
      <c r="K103" s="26" t="inlineStr">
        <is>
          <t>Professional site (Kingston, WA)</t>
        </is>
      </c>
      <c r="L103" s="26" t="inlineStr">
        <is>
          <t>Google Maps; WebSearch</t>
        </is>
      </c>
      <c r="M103" s="26" t="inlineStr">
        <is>
          <t>2026-07-02</t>
        </is>
      </c>
    </row>
    <row r="104" ht="28.5" customHeight="1" s="21">
      <c r="A104" s="26" t="inlineStr">
        <is>
          <t>Poulsbo</t>
        </is>
      </c>
      <c r="B104" s="26" t="inlineStr">
        <is>
          <t>Poulsbo Heating Co</t>
        </is>
      </c>
      <c r="C104" s="26" t="inlineStr">
        <is>
          <t>(360) 779-9678</t>
        </is>
      </c>
      <c r="D104" s="26" t="inlineStr">
        <is>
          <t>Yes</t>
        </is>
      </c>
      <c r="E104" s="26" t="n"/>
      <c r="F104" s="26" t="inlineStr">
        <is>
          <t>N/A</t>
        </is>
      </c>
      <c r="G104" s="26" t="n">
        <v>3.4</v>
      </c>
      <c r="H104" s="26" t="n">
        <v>17</v>
      </c>
      <c r="I104" s="42" t="inlineStr">
        <is>
          <t>Skip</t>
        </is>
      </c>
      <c r="J104" s="26" t="n"/>
      <c r="K104" s="26" t="inlineStr">
        <is>
          <t>Fails 4.0+ star quality bar outright regardless of review count</t>
        </is>
      </c>
      <c r="L104" s="26" t="inlineStr">
        <is>
          <t>Google Maps</t>
        </is>
      </c>
      <c r="M104" s="26" t="inlineStr">
        <is>
          <t>2026-07-02</t>
        </is>
      </c>
    </row>
    <row r="105" ht="15.75" customHeight="1" s="21">
      <c r="A105" s="26" t="inlineStr">
        <is>
          <t>Poulsbo</t>
        </is>
      </c>
      <c r="B105" s="26" t="inlineStr">
        <is>
          <t>Pelican Heating &amp; Air - Poulsbo</t>
        </is>
      </c>
      <c r="C105" s="26" t="inlineStr">
        <is>
          <t>(888) 858-9493</t>
        </is>
      </c>
      <c r="D105" s="26" t="inlineStr">
        <is>
          <t>Yes</t>
        </is>
      </c>
      <c r="E105" s="26" t="n"/>
      <c r="F105" s="26" t="inlineStr">
        <is>
          <t>Too new to assess</t>
        </is>
      </c>
      <c r="G105" s="26" t="n"/>
      <c r="H105" s="26" t="n">
        <v>0</v>
      </c>
      <c r="I105" s="42" t="inlineStr">
        <is>
          <t>Skip</t>
        </is>
      </c>
      <c r="J105" s="26" t="n"/>
      <c r="K105" s="26" t="inlineStr">
        <is>
          <t>No reviews yet, too new</t>
        </is>
      </c>
      <c r="L105" s="26" t="inlineStr">
        <is>
          <t>Google Maps</t>
        </is>
      </c>
      <c r="M105" s="26" t="inlineStr">
        <is>
          <t>2026-07-02</t>
        </is>
      </c>
    </row>
    <row r="106" ht="28.5" customHeight="1" s="21">
      <c r="A106" s="26" t="inlineStr">
        <is>
          <t>Poulsbo</t>
        </is>
      </c>
      <c r="B106" s="26" t="inlineStr">
        <is>
          <t>Four Grizzlies Home Solutions LLC</t>
        </is>
      </c>
      <c r="C106" s="26" t="inlineStr">
        <is>
          <t>(360) 536-0392</t>
        </is>
      </c>
      <c r="D106" s="26" t="inlineStr">
        <is>
          <t>No</t>
        </is>
      </c>
      <c r="E106" s="26" t="n"/>
      <c r="F106" s="26" t="inlineStr">
        <is>
          <t>N/A</t>
        </is>
      </c>
      <c r="G106" s="26" t="n">
        <v>5</v>
      </c>
      <c r="H106" s="26" t="n">
        <v>40</v>
      </c>
      <c r="I106" s="42" t="inlineStr">
        <is>
          <t>Skip</t>
        </is>
      </c>
      <c r="J106" s="26" t="n"/>
      <c r="K106" s="26" t="inlineStr">
        <is>
          <t>NOT actually an HVAC company - general contractor (remodels/decks/roofing) per Facebook; category mismatch</t>
        </is>
      </c>
      <c r="L106" s="26" t="inlineStr">
        <is>
          <t>Google Maps; WebSearch</t>
        </is>
      </c>
      <c r="M106" s="26" t="inlineStr">
        <is>
          <t>2026-07-02</t>
        </is>
      </c>
    </row>
    <row r="107" ht="15.75" customHeight="1" s="21">
      <c r="A107" s="26" t="inlineStr">
        <is>
          <t>Poulsbo</t>
        </is>
      </c>
      <c r="B107" s="26" t="inlineStr">
        <is>
          <t>CSW Electric &amp; HVAC</t>
        </is>
      </c>
      <c r="C107" s="26" t="inlineStr">
        <is>
          <t>(360) 697-2493</t>
        </is>
      </c>
      <c r="D107" s="26" t="inlineStr">
        <is>
          <t>Yes</t>
        </is>
      </c>
      <c r="E107" s="26" t="n"/>
      <c r="F107" s="26" t="inlineStr">
        <is>
          <t>Too new to assess</t>
        </is>
      </c>
      <c r="G107" s="26" t="n">
        <v>5</v>
      </c>
      <c r="H107" s="26" t="n">
        <v>3</v>
      </c>
      <c r="I107" s="42" t="inlineStr">
        <is>
          <t>Skip</t>
        </is>
      </c>
      <c r="J107" s="26" t="n"/>
      <c r="K107" s="26" t="inlineStr">
        <is>
          <t>Too few reviews/too new</t>
        </is>
      </c>
      <c r="L107" s="26" t="inlineStr">
        <is>
          <t>Google Maps</t>
        </is>
      </c>
      <c r="M107" s="26" t="inlineStr">
        <is>
          <t>2026-07-02</t>
        </is>
      </c>
    </row>
    <row r="108" ht="57.75" customHeight="1" s="21">
      <c r="A108" s="26" t="inlineStr">
        <is>
          <t>Silverdale</t>
        </is>
      </c>
      <c r="B108" s="26" t="inlineStr">
        <is>
          <t>West Sound Comfort Systems</t>
        </is>
      </c>
      <c r="C108" s="26" t="inlineStr">
        <is>
          <t>(360) 340-9397</t>
        </is>
      </c>
      <c r="D108" s="26" t="inlineStr">
        <is>
          <t>Yes</t>
        </is>
      </c>
      <c r="E108" s="26" t="inlineStr">
        <is>
          <t>westsoundcomfort.com</t>
        </is>
      </c>
      <c r="F108" s="26" t="inlineStr">
        <is>
          <t>Professional - 25+ years in business, multi-service (HVAC/plumbing/electrical) site</t>
        </is>
      </c>
      <c r="G108" s="26" t="n">
        <v>5</v>
      </c>
      <c r="H108" s="26" t="n">
        <v>401</v>
      </c>
      <c r="I108" s="42" t="inlineStr">
        <is>
          <t>Skip</t>
        </is>
      </c>
      <c r="J108" s="26" t="n"/>
      <c r="K108" s="26" t="inlineStr">
        <is>
          <t>Professional, established</t>
        </is>
      </c>
      <c r="L108" s="26" t="inlineStr">
        <is>
          <t>Google Maps; WebSearch</t>
        </is>
      </c>
      <c r="M108" s="26" t="inlineStr">
        <is>
          <t>2026-07-02</t>
        </is>
      </c>
    </row>
    <row r="109" ht="43.5" customHeight="1" s="21">
      <c r="A109" s="26" t="inlineStr">
        <is>
          <t>Silverdale</t>
        </is>
      </c>
      <c r="B109" s="26" t="inlineStr">
        <is>
          <t>Mercurio's Heating &amp; Air Conditioning</t>
        </is>
      </c>
      <c r="C109" s="26" t="inlineStr">
        <is>
          <t>(360) 200-0367</t>
        </is>
      </c>
      <c r="D109" s="26" t="inlineStr">
        <is>
          <t>Yes</t>
        </is>
      </c>
      <c r="E109" s="26" t="inlineStr">
        <is>
          <t>mercurios.com</t>
        </is>
      </c>
      <c r="F109" s="26" t="inlineStr">
        <is>
          <t>Professional (large regional chain since 1992)</t>
        </is>
      </c>
      <c r="G109" s="26" t="n">
        <v>4.5</v>
      </c>
      <c r="H109" s="26" t="n">
        <v>124</v>
      </c>
      <c r="I109" s="42" t="inlineStr">
        <is>
          <t>Skip</t>
        </is>
      </c>
      <c r="J109" s="26" t="n"/>
      <c r="K109" s="26" t="inlineStr">
        <is>
          <t>Large regional chain (3,544 reviews company-wide), serves Greater Tacoma too - too large/corporate</t>
        </is>
      </c>
      <c r="L109" s="26" t="inlineStr">
        <is>
          <t>Google Maps; WebSearch</t>
        </is>
      </c>
      <c r="M109" s="26" t="inlineStr">
        <is>
          <t>2026-07-02</t>
        </is>
      </c>
    </row>
    <row r="110" ht="28.5" customHeight="1" s="21">
      <c r="A110" s="26" t="inlineStr">
        <is>
          <t>Silverdale</t>
        </is>
      </c>
      <c r="B110" s="26" t="inlineStr">
        <is>
          <t>Aire Serv of Kitsap County</t>
        </is>
      </c>
      <c r="C110" s="26" t="inlineStr">
        <is>
          <t>(360) 228-2946</t>
        </is>
      </c>
      <c r="D110" s="26" t="inlineStr">
        <is>
          <t>Yes</t>
        </is>
      </c>
      <c r="E110" s="26" t="inlineStr">
        <is>
          <t>aireserv.com</t>
        </is>
      </c>
      <c r="F110" s="26" t="inlineStr">
        <is>
          <t>Professional (national franchise)</t>
        </is>
      </c>
      <c r="G110" s="26" t="n">
        <v>4.9</v>
      </c>
      <c r="H110" s="26" t="n">
        <v>84</v>
      </c>
      <c r="I110" s="42" t="inlineStr">
        <is>
          <t>Skip</t>
        </is>
      </c>
      <c r="J110" s="26" t="n"/>
      <c r="K110" s="26" t="inlineStr">
        <is>
          <t>National franchise (Neighborly brand family)</t>
        </is>
      </c>
      <c r="L110" s="26" t="inlineStr">
        <is>
          <t>Google Maps; WebSearch</t>
        </is>
      </c>
      <c r="M110" s="26" t="inlineStr">
        <is>
          <t>2026-07-02</t>
        </is>
      </c>
    </row>
    <row r="111" ht="28.5" customHeight="1" s="21">
      <c r="A111" s="26" t="inlineStr">
        <is>
          <t>Ferndale</t>
        </is>
      </c>
      <c r="B111" s="26" t="inlineStr">
        <is>
          <t>Andgar Home Comfort</t>
        </is>
      </c>
      <c r="C111" s="26" t="inlineStr">
        <is>
          <t>(360) 614-4543</t>
        </is>
      </c>
      <c r="D111" s="26" t="inlineStr">
        <is>
          <t>Yes</t>
        </is>
      </c>
      <c r="E111" s="26" t="n"/>
      <c r="F111" s="26" t="inlineStr">
        <is>
          <t>Professional (large chain since 1935)</t>
        </is>
      </c>
      <c r="G111" s="26" t="n">
        <v>4.9</v>
      </c>
      <c r="H111" s="26" t="n">
        <v>1090</v>
      </c>
      <c r="I111" s="42" t="inlineStr">
        <is>
          <t>Skip</t>
        </is>
      </c>
      <c r="J111" s="26" t="n"/>
      <c r="K111" s="26" t="inlineStr">
        <is>
          <t>Large regional chain, also serves Blaine</t>
        </is>
      </c>
      <c r="L111" s="26" t="inlineStr">
        <is>
          <t>Google Maps</t>
        </is>
      </c>
      <c r="M111" s="26" t="inlineStr">
        <is>
          <t>2026-07-02</t>
        </is>
      </c>
    </row>
    <row r="112" ht="28.5" customHeight="1" s="21">
      <c r="A112" s="26" t="inlineStr">
        <is>
          <t>Ferndale</t>
        </is>
      </c>
      <c r="B112" s="26" t="inlineStr">
        <is>
          <t>Barron Heating AC Electrical &amp; Plumbing</t>
        </is>
      </c>
      <c r="C112" s="26" t="inlineStr">
        <is>
          <t>(844) 481-1091</t>
        </is>
      </c>
      <c r="D112" s="26" t="inlineStr">
        <is>
          <t>Yes</t>
        </is>
      </c>
      <c r="E112" s="26" t="n"/>
      <c r="F112" s="26" t="inlineStr">
        <is>
          <t>Professional (large chain)</t>
        </is>
      </c>
      <c r="G112" s="26" t="n">
        <v>4.9</v>
      </c>
      <c r="H112" s="26" t="n">
        <v>2451</v>
      </c>
      <c r="I112" s="42" t="inlineStr">
        <is>
          <t>Skip</t>
        </is>
      </c>
      <c r="J112" s="26" t="n"/>
      <c r="K112" s="26" t="inlineStr">
        <is>
          <t>Large regional chain, also serves Blaine</t>
        </is>
      </c>
      <c r="L112" s="26" t="inlineStr">
        <is>
          <t>Google Maps</t>
        </is>
      </c>
      <c r="M112" s="26" t="inlineStr">
        <is>
          <t>2026-07-02</t>
        </is>
      </c>
    </row>
    <row r="113" ht="28.5" customHeight="1" s="21">
      <c r="A113" s="26" t="inlineStr">
        <is>
          <t>Ferndale</t>
        </is>
      </c>
      <c r="B113" s="26" t="inlineStr">
        <is>
          <t>CPI Plumbing, Heating &amp; Cooling</t>
        </is>
      </c>
      <c r="C113" s="26" t="inlineStr">
        <is>
          <t>(360) 207-4973</t>
        </is>
      </c>
      <c r="D113" s="26" t="inlineStr">
        <is>
          <t>Yes</t>
        </is>
      </c>
      <c r="E113" s="26" t="n"/>
      <c r="F113" s="26" t="inlineStr">
        <is>
          <t>Professional (large, sponsored ad)</t>
        </is>
      </c>
      <c r="G113" s="26" t="n">
        <v>4.9</v>
      </c>
      <c r="H113" s="26" t="n">
        <v>246</v>
      </c>
      <c r="I113" s="42" t="inlineStr">
        <is>
          <t>Skip</t>
        </is>
      </c>
      <c r="J113" s="26" t="n"/>
      <c r="K113" s="26" t="inlineStr">
        <is>
          <t>Large, plumber-primary, sponsored ad presence</t>
        </is>
      </c>
      <c r="L113" s="26" t="inlineStr">
        <is>
          <t>Google Maps</t>
        </is>
      </c>
      <c r="M113" s="26" t="inlineStr">
        <is>
          <t>2026-07-02</t>
        </is>
      </c>
    </row>
    <row r="114" ht="57.75" customHeight="1" s="21">
      <c r="A114" s="26" t="inlineStr">
        <is>
          <t>Ferndale</t>
        </is>
      </c>
      <c r="B114" s="26" t="inlineStr">
        <is>
          <t>Smith Mechanical</t>
        </is>
      </c>
      <c r="C114" s="26" t="inlineStr">
        <is>
          <t>(360) 384-3203</t>
        </is>
      </c>
      <c r="D114" s="26" t="inlineStr">
        <is>
          <t>Yes</t>
        </is>
      </c>
      <c r="E114" s="26" t="inlineStr">
        <is>
          <t>smithmechanical.com</t>
        </is>
      </c>
      <c r="F114" s="26" t="inlineStr">
        <is>
          <t>Professional - modern site, multi-step contact form, 35 years in business</t>
        </is>
      </c>
      <c r="G114" s="26" t="n">
        <v>4.6</v>
      </c>
      <c r="H114" s="26" t="n">
        <v>51</v>
      </c>
      <c r="I114" s="42" t="inlineStr">
        <is>
          <t>Skip</t>
        </is>
      </c>
      <c r="J114" s="26" t="n"/>
      <c r="K114" s="26" t="inlineStr">
        <is>
          <t>Professional site, serves Whatcom/Skagit/N.Snohomish/Island</t>
        </is>
      </c>
      <c r="L114" s="26" t="inlineStr">
        <is>
          <t>Google Maps; WebSearch</t>
        </is>
      </c>
      <c r="M114" s="26" t="inlineStr">
        <is>
          <t>2026-07-02</t>
        </is>
      </c>
    </row>
    <row r="115" ht="72" customHeight="1" s="21">
      <c r="A115" s="26" t="inlineStr">
        <is>
          <t>Ferndale</t>
        </is>
      </c>
      <c r="B115" s="26" t="inlineStr">
        <is>
          <t>De Jong Heating &amp; Refrigeration Inc</t>
        </is>
      </c>
      <c r="C115" s="26" t="inlineStr">
        <is>
          <t>(360) 354-0268</t>
        </is>
      </c>
      <c r="D115" s="26" t="inlineStr">
        <is>
          <t>Yes</t>
        </is>
      </c>
      <c r="E115" s="26" t="inlineStr">
        <is>
          <t>dejongheating.com</t>
        </is>
      </c>
      <c r="F115" s="26" t="inlineStr">
        <is>
          <t>Professional - branded site (logo, financing/rebates/warranty pages), family-owned 20+ years</t>
        </is>
      </c>
      <c r="G115" s="26" t="n">
        <v>4.7</v>
      </c>
      <c r="H115" s="26" t="n">
        <v>30</v>
      </c>
      <c r="I115" s="42" t="inlineStr">
        <is>
          <t>Skip</t>
        </is>
      </c>
      <c r="J115" s="26" t="n"/>
      <c r="K115" s="26" t="inlineStr">
        <is>
          <t>Professional site</t>
        </is>
      </c>
      <c r="L115" s="26" t="inlineStr">
        <is>
          <t>Google Maps; WebSearch</t>
        </is>
      </c>
      <c r="M115" s="26" t="inlineStr">
        <is>
          <t>2026-07-02</t>
        </is>
      </c>
    </row>
    <row r="116" ht="28.5" customHeight="1" s="21">
      <c r="A116" s="26" t="inlineStr">
        <is>
          <t>Ferndale</t>
        </is>
      </c>
      <c r="B116" s="26" t="inlineStr">
        <is>
          <t>Blue Line Home Services</t>
        </is>
      </c>
      <c r="C116" s="26" t="inlineStr">
        <is>
          <t>(360) 389-3074</t>
        </is>
      </c>
      <c r="D116" s="26" t="inlineStr">
        <is>
          <t>Yes</t>
        </is>
      </c>
      <c r="E116" s="26" t="n"/>
      <c r="F116" s="26" t="inlineStr">
        <is>
          <t>N/A</t>
        </is>
      </c>
      <c r="G116" s="26" t="n">
        <v>4.8</v>
      </c>
      <c r="H116" s="26" t="n">
        <v>149</v>
      </c>
      <c r="I116" s="42" t="inlineStr">
        <is>
          <t>Skip</t>
        </is>
      </c>
      <c r="J116" s="26" t="n"/>
      <c r="K116" s="26" t="inlineStr">
        <is>
          <t>Air duct cleaning service category, not full-service HVAC - narrow scope, lower priority</t>
        </is>
      </c>
      <c r="L116" s="26" t="inlineStr">
        <is>
          <t>Google Maps</t>
        </is>
      </c>
      <c r="M116" s="26" t="inlineStr">
        <is>
          <t>2026-07-02</t>
        </is>
      </c>
    </row>
    <row r="117" ht="72" customHeight="1" s="21">
      <c r="A117" s="26" t="inlineStr">
        <is>
          <t>Lynden</t>
        </is>
      </c>
      <c r="B117" s="26" t="inlineStr">
        <is>
          <t>Four Seasons Heating &amp; Cooling, LLC</t>
        </is>
      </c>
      <c r="C117" s="26" t="inlineStr">
        <is>
          <t>(360) 631-4058</t>
        </is>
      </c>
      <c r="D117" s="26" t="inlineStr">
        <is>
          <t>Yes</t>
        </is>
      </c>
      <c r="E117" s="26" t="inlineStr">
        <is>
          <t>4seasonsheating-cooling.com</t>
        </is>
      </c>
      <c r="F117" s="26" t="inlineStr">
        <is>
          <t>Professional - branded logo, authentic family photo, clean red/white branding, family owned copy</t>
        </is>
      </c>
      <c r="G117" s="26" t="n">
        <v>4.8</v>
      </c>
      <c r="H117" s="26" t="n">
        <v>26</v>
      </c>
      <c r="I117" s="42" t="inlineStr">
        <is>
          <t>Skip</t>
        </is>
      </c>
      <c r="J117" s="26" t="n"/>
      <c r="K117" s="26" t="inlineStr">
        <is>
          <t>Professional site, just clears 25+ threshold</t>
        </is>
      </c>
      <c r="L117" s="26" t="inlineStr">
        <is>
          <t>Google Maps; WebSearch</t>
        </is>
      </c>
      <c r="M117" s="26" t="inlineStr">
        <is>
          <t>2026-07-02</t>
        </is>
      </c>
    </row>
    <row r="118" ht="101.25" customHeight="1" s="21">
      <c r="A118" s="26" t="inlineStr">
        <is>
          <t>Lynden</t>
        </is>
      </c>
      <c r="B118" s="26" t="inlineStr">
        <is>
          <t>Van's Plumbing and Electric, Inc.</t>
        </is>
      </c>
      <c r="C118" s="26" t="inlineStr">
        <is>
          <t>(360) 354-2171</t>
        </is>
      </c>
      <c r="D118" s="26" t="inlineStr">
        <is>
          <t>Yes</t>
        </is>
      </c>
      <c r="E118" s="26" t="inlineStr">
        <is>
          <t>vanspe.com</t>
        </is>
      </c>
      <c r="F118" s="26" t="inlineStr">
        <is>
          <t>Professional-enough - real substantive copy (decades in business) but hero images fail to render; primarily plumbing/electrical (HVAC secondary)</t>
        </is>
      </c>
      <c r="G118" s="26" t="n">
        <v>4.3</v>
      </c>
      <c r="H118" s="26" t="n">
        <v>32</v>
      </c>
      <c r="I118" s="42" t="inlineStr">
        <is>
          <t>Skip</t>
        </is>
      </c>
      <c r="J118" s="26" t="n"/>
      <c r="K118" s="26" t="inlineStr">
        <is>
          <t>Category mismatch as primary plumber lowers priority; site otherwise legitimate</t>
        </is>
      </c>
      <c r="L118" s="26" t="inlineStr">
        <is>
          <t>Google Maps; WebSearch</t>
        </is>
      </c>
      <c r="M118" s="26" t="inlineStr">
        <is>
          <t>2026-07-02</t>
        </is>
      </c>
    </row>
    <row r="119" ht="15.75" customHeight="1" s="21">
      <c r="A119" s="26" t="inlineStr">
        <is>
          <t>Lynden</t>
        </is>
      </c>
      <c r="B119" s="26" t="inlineStr">
        <is>
          <t>Peak Heating &amp; Cooling</t>
        </is>
      </c>
      <c r="C119" s="26" t="inlineStr">
        <is>
          <t>(360) 318-7232</t>
        </is>
      </c>
      <c r="D119" s="26" t="inlineStr">
        <is>
          <t>Yes</t>
        </is>
      </c>
      <c r="E119" s="26" t="n"/>
      <c r="F119" s="26" t="inlineStr">
        <is>
          <t>Too new to assess</t>
        </is>
      </c>
      <c r="G119" s="26" t="n">
        <v>5</v>
      </c>
      <c r="H119" s="26" t="n">
        <v>4</v>
      </c>
      <c r="I119" s="42" t="inlineStr">
        <is>
          <t>Skip</t>
        </is>
      </c>
      <c r="J119" s="26" t="n"/>
      <c r="K119" s="26" t="inlineStr">
        <is>
          <t>Too few reviews/too new</t>
        </is>
      </c>
      <c r="L119" s="26" t="inlineStr">
        <is>
          <t>Google Maps</t>
        </is>
      </c>
      <c r="M119" s="26" t="inlineStr">
        <is>
          <t>2026-07-02</t>
        </is>
      </c>
    </row>
    <row r="120" ht="57.75" customHeight="1" s="21">
      <c r="A120" s="26" t="inlineStr">
        <is>
          <t>Blaine</t>
        </is>
      </c>
      <c r="B120" s="26" t="inlineStr">
        <is>
          <t>Serenity Heating &amp; Air Conditioning</t>
        </is>
      </c>
      <c r="C120" s="26" t="inlineStr">
        <is>
          <t>(360) 255-3081</t>
        </is>
      </c>
      <c r="D120" s="26" t="inlineStr">
        <is>
          <t>Yes</t>
        </is>
      </c>
      <c r="E120" s="26" t="inlineStr">
        <is>
          <t>serenityheat.com</t>
        </is>
      </c>
      <c r="F120" s="26" t="inlineStr">
        <is>
          <t>Professional - branded logo, clean modern hero, "owner-installed comfort systems" copy</t>
        </is>
      </c>
      <c r="G120" s="26" t="n">
        <v>5</v>
      </c>
      <c r="H120" s="26" t="n">
        <v>36</v>
      </c>
      <c r="I120" s="42" t="inlineStr">
        <is>
          <t>Skip</t>
        </is>
      </c>
      <c r="J120" s="26" t="n"/>
      <c r="K120" s="26" t="inlineStr">
        <is>
          <t>Professional site, owner-operated</t>
        </is>
      </c>
      <c r="L120" s="26" t="inlineStr">
        <is>
          <t>Google Maps; WebSearch</t>
        </is>
      </c>
      <c r="M120" s="26" t="inlineStr">
        <is>
          <t>2026-07-02</t>
        </is>
      </c>
    </row>
    <row r="121" ht="15.75" customHeight="1" s="21">
      <c r="A121" s="26" t="inlineStr">
        <is>
          <t>Blaine</t>
        </is>
      </c>
      <c r="B121" s="26" t="inlineStr">
        <is>
          <t>DiMax Air Solutions</t>
        </is>
      </c>
      <c r="C121" s="26" t="inlineStr">
        <is>
          <t>(360) 296-1944</t>
        </is>
      </c>
      <c r="D121" s="26" t="inlineStr">
        <is>
          <t>No</t>
        </is>
      </c>
      <c r="E121" s="26" t="n"/>
      <c r="F121" s="26" t="inlineStr">
        <is>
          <t>N/A</t>
        </is>
      </c>
      <c r="G121" s="26" t="n">
        <v>5</v>
      </c>
      <c r="H121" s="26" t="n">
        <v>3</v>
      </c>
      <c r="I121" s="42" t="inlineStr">
        <is>
          <t>Skip</t>
        </is>
      </c>
      <c r="J121" s="26" t="n"/>
      <c r="K121" s="26" t="inlineStr">
        <is>
          <t>Too few reviews/too new</t>
        </is>
      </c>
      <c r="L121" s="26" t="inlineStr">
        <is>
          <t>Google Maps</t>
        </is>
      </c>
      <c r="M121" s="26" t="inlineStr">
        <is>
          <t>2026-07-02</t>
        </is>
      </c>
    </row>
    <row r="122" ht="15.75" customHeight="1" s="21">
      <c r="A122" s="26" t="inlineStr">
        <is>
          <t>Blaine</t>
        </is>
      </c>
      <c r="B122" s="26" t="inlineStr">
        <is>
          <t>Heating &amp; Air Conditioning</t>
        </is>
      </c>
      <c r="C122" s="26" t="n"/>
      <c r="D122" s="26" t="inlineStr">
        <is>
          <t>No</t>
        </is>
      </c>
      <c r="E122" s="26" t="n"/>
      <c r="F122" s="26" t="inlineStr">
        <is>
          <t>N/A</t>
        </is>
      </c>
      <c r="G122" s="26" t="n">
        <v>3</v>
      </c>
      <c r="H122" s="26" t="n">
        <v>4</v>
      </c>
      <c r="I122" s="42" t="inlineStr">
        <is>
          <t>Skip</t>
        </is>
      </c>
      <c r="J122" s="26" t="n"/>
      <c r="K122" s="26" t="inlineStr">
        <is>
          <t>Fails 4.0+ star quality bar outright</t>
        </is>
      </c>
      <c r="L122" s="26" t="inlineStr">
        <is>
          <t>Google Maps</t>
        </is>
      </c>
      <c r="M122" s="26" t="inlineStr">
        <is>
          <t>2026-07-02</t>
        </is>
      </c>
    </row>
    <row r="123" ht="15.75" customHeight="1" s="21">
      <c r="A123" s="26" t="inlineStr">
        <is>
          <t>Blaine</t>
        </is>
      </c>
      <c r="B123" s="26" t="inlineStr">
        <is>
          <t>ClimaCore HVAC LLC</t>
        </is>
      </c>
      <c r="C123" s="26" t="inlineStr">
        <is>
          <t>(360) 927-5749</t>
        </is>
      </c>
      <c r="D123" s="26" t="inlineStr">
        <is>
          <t>Yes</t>
        </is>
      </c>
      <c r="E123" s="26" t="n"/>
      <c r="F123" s="26" t="inlineStr">
        <is>
          <t>Too new to assess</t>
        </is>
      </c>
      <c r="G123" s="26" t="n">
        <v>5</v>
      </c>
      <c r="H123" s="26" t="n">
        <v>1</v>
      </c>
      <c r="I123" s="42" t="inlineStr">
        <is>
          <t>Skip</t>
        </is>
      </c>
      <c r="J123" s="26" t="n"/>
      <c r="K123" s="26" t="inlineStr">
        <is>
          <t>Too few reviews/too new</t>
        </is>
      </c>
      <c r="L123" s="26" t="inlineStr">
        <is>
          <t>Google Maps</t>
        </is>
      </c>
      <c r="M123" s="26" t="inlineStr">
        <is>
          <t>2026-07-02</t>
        </is>
      </c>
    </row>
    <row r="124" ht="15.75" customHeight="1" s="21">
      <c r="A124" s="26" t="inlineStr">
        <is>
          <t>Blaine</t>
        </is>
      </c>
      <c r="B124" s="26" t="inlineStr">
        <is>
          <t>NORTHWEST HEATING SERVICES LLC</t>
        </is>
      </c>
      <c r="C124" s="26" t="inlineStr">
        <is>
          <t>(360) 224-8475</t>
        </is>
      </c>
      <c r="D124" s="26" t="inlineStr">
        <is>
          <t>Yes</t>
        </is>
      </c>
      <c r="E124" s="26" t="n"/>
      <c r="F124" s="26" t="inlineStr">
        <is>
          <t>Too new to assess</t>
        </is>
      </c>
      <c r="G124" s="26" t="n">
        <v>4</v>
      </c>
      <c r="H124" s="26" t="n">
        <v>2</v>
      </c>
      <c r="I124" s="42" t="inlineStr">
        <is>
          <t>Skip</t>
        </is>
      </c>
      <c r="J124" s="26" t="n"/>
      <c r="K124" s="26" t="inlineStr">
        <is>
          <t>Too few reviews/too new</t>
        </is>
      </c>
      <c r="L124" s="26" t="inlineStr">
        <is>
          <t>Google Maps</t>
        </is>
      </c>
      <c r="M124" s="26" t="inlineStr">
        <is>
          <t>2026-07-02</t>
        </is>
      </c>
    </row>
    <row r="125" ht="28.5" customHeight="1" s="21">
      <c r="A125" s="26" t="inlineStr">
        <is>
          <t>Blaine</t>
        </is>
      </c>
      <c r="B125" s="26" t="inlineStr">
        <is>
          <t>Furnace &amp; Water Heater Services of Blaine &amp; Birch Bay Washington</t>
        </is>
      </c>
      <c r="C125" s="26" t="inlineStr">
        <is>
          <t>(360) 224-8475</t>
        </is>
      </c>
      <c r="D125" s="26" t="inlineStr">
        <is>
          <t>Yes</t>
        </is>
      </c>
      <c r="E125" s="26" t="n"/>
      <c r="F125" s="26" t="inlineStr">
        <is>
          <t>Too new to assess</t>
        </is>
      </c>
      <c r="G125" s="26" t="n"/>
      <c r="H125" s="26" t="n">
        <v>0</v>
      </c>
      <c r="I125" s="42" t="inlineStr">
        <is>
          <t>Skip</t>
        </is>
      </c>
      <c r="J125" s="26" t="n"/>
      <c r="K125" s="26" t="inlineStr">
        <is>
          <t>No reviews yet, too new</t>
        </is>
      </c>
      <c r="L125" s="26" t="inlineStr">
        <is>
          <t>Google Maps</t>
        </is>
      </c>
      <c r="M125" s="26" t="inlineStr">
        <is>
          <t>2026-07-02</t>
        </is>
      </c>
    </row>
    <row r="126" ht="15.75" customHeight="1" s="21">
      <c r="A126" s="26" t="inlineStr">
        <is>
          <t>Blaine</t>
        </is>
      </c>
      <c r="B126" s="26" t="inlineStr">
        <is>
          <t>Amundson Heating &amp; Air</t>
        </is>
      </c>
      <c r="C126" s="26" t="inlineStr">
        <is>
          <t>(360) 961-2914</t>
        </is>
      </c>
      <c r="D126" s="26" t="inlineStr">
        <is>
          <t>Yes</t>
        </is>
      </c>
      <c r="E126" s="26" t="n"/>
      <c r="F126" s="26" t="inlineStr">
        <is>
          <t>Too new to assess</t>
        </is>
      </c>
      <c r="G126" s="26" t="n"/>
      <c r="H126" s="26" t="n">
        <v>0</v>
      </c>
      <c r="I126" s="42" t="inlineStr">
        <is>
          <t>Skip</t>
        </is>
      </c>
      <c r="J126" s="26" t="n"/>
      <c r="K126" s="26" t="inlineStr">
        <is>
          <t>No reviews yet, too new</t>
        </is>
      </c>
      <c r="L126" s="26" t="inlineStr">
        <is>
          <t>Google Maps</t>
        </is>
      </c>
      <c r="M126" s="26" t="inlineStr">
        <is>
          <t>2026-07-02</t>
        </is>
      </c>
    </row>
    <row r="127" ht="28.5" customHeight="1" s="21">
      <c r="A127" s="26" t="inlineStr">
        <is>
          <t>Puyallup</t>
        </is>
      </c>
      <c r="B127" s="26" t="inlineStr">
        <is>
          <t>Envirosmart Solution</t>
        </is>
      </c>
      <c r="C127" s="26" t="n"/>
      <c r="D127" s="26" t="inlineStr">
        <is>
          <t>Yes</t>
        </is>
      </c>
      <c r="E127" s="26" t="n"/>
      <c r="F127" s="26" t="n"/>
      <c r="G127" s="26" t="n">
        <v>4.8</v>
      </c>
      <c r="H127" s="26" t="n">
        <v>1074</v>
      </c>
      <c r="I127" s="42" t="inlineStr">
        <is>
          <t>Skip</t>
        </is>
      </c>
      <c r="J127" s="26" t="n"/>
      <c r="K127" s="26" t="inlineStr">
        <is>
          <t>Probe city - saturated Tacoma-metro suburb, large sponsored operation, not individually site-verified.</t>
        </is>
      </c>
      <c r="L127" s="26" t="inlineStr">
        <is>
          <t>Google Maps</t>
        </is>
      </c>
      <c r="M127" s="26" t="inlineStr">
        <is>
          <t>2026-07-02</t>
        </is>
      </c>
    </row>
    <row r="128" ht="28.5" customHeight="1" s="21">
      <c r="A128" s="26" t="inlineStr">
        <is>
          <t>Puyallup</t>
        </is>
      </c>
      <c r="B128" s="26" t="inlineStr">
        <is>
          <t>Washington Energy Services</t>
        </is>
      </c>
      <c r="C128" s="26" t="n"/>
      <c r="D128" s="26" t="inlineStr">
        <is>
          <t>Yes</t>
        </is>
      </c>
      <c r="E128" s="26" t="n"/>
      <c r="F128" s="26" t="n"/>
      <c r="G128" s="26" t="n">
        <v>4.7</v>
      </c>
      <c r="H128" s="26" t="n">
        <v>573</v>
      </c>
      <c r="I128" s="42" t="inlineStr">
        <is>
          <t>Skip</t>
        </is>
      </c>
      <c r="J128" s="26" t="n"/>
      <c r="K128" s="26" t="inlineStr">
        <is>
          <t>Known large regional chain (already flagged saturated in Lynnwood/Edmonds).</t>
        </is>
      </c>
      <c r="L128" s="26" t="inlineStr">
        <is>
          <t>Google Maps</t>
        </is>
      </c>
      <c r="M128" s="26" t="inlineStr">
        <is>
          <t>2026-07-02</t>
        </is>
      </c>
    </row>
    <row r="129" ht="15.75" customHeight="1" s="21">
      <c r="A129" s="26" t="inlineStr">
        <is>
          <t>Puyallup</t>
        </is>
      </c>
      <c r="B129" s="26" t="inlineStr">
        <is>
          <t>Puyallup Heating &amp; Air Conditioning</t>
        </is>
      </c>
      <c r="C129" s="26" t="n"/>
      <c r="D129" s="26" t="inlineStr">
        <is>
          <t>Yes</t>
        </is>
      </c>
      <c r="E129" s="26" t="n"/>
      <c r="F129" s="26" t="n"/>
      <c r="G129" s="26" t="n">
        <v>4.7</v>
      </c>
      <c r="H129" s="26" t="n">
        <v>447</v>
      </c>
      <c r="I129" s="42" t="inlineStr">
        <is>
          <t>Skip</t>
        </is>
      </c>
      <c r="J129" s="26" t="n"/>
      <c r="K129" s="26" t="inlineStr">
        <is>
          <t>Probe city - large, not individually site-verified.</t>
        </is>
      </c>
      <c r="L129" s="26" t="inlineStr">
        <is>
          <t>Google Maps</t>
        </is>
      </c>
      <c r="M129" s="26" t="inlineStr">
        <is>
          <t>2026-07-02</t>
        </is>
      </c>
    </row>
    <row r="130" ht="28.5" customHeight="1" s="21">
      <c r="A130" s="26" t="inlineStr">
        <is>
          <t>Puyallup</t>
        </is>
      </c>
      <c r="B130" s="26" t="inlineStr">
        <is>
          <t>Serenity Air Heating &amp; Air Conditioning</t>
        </is>
      </c>
      <c r="C130" s="26" t="n"/>
      <c r="D130" s="26" t="inlineStr">
        <is>
          <t>Yes</t>
        </is>
      </c>
      <c r="E130" s="26" t="n"/>
      <c r="F130" s="26" t="n"/>
      <c r="G130" s="26" t="n">
        <v>4.9</v>
      </c>
      <c r="H130" s="26" t="n">
        <v>575</v>
      </c>
      <c r="I130" s="42" t="inlineStr">
        <is>
          <t>Skip</t>
        </is>
      </c>
      <c r="J130" s="26" t="n"/>
      <c r="K130" s="26" t="inlineStr">
        <is>
          <t>Probe city - large, not individually site-verified.</t>
        </is>
      </c>
      <c r="L130" s="26" t="inlineStr">
        <is>
          <t>Google Maps</t>
        </is>
      </c>
      <c r="M130" s="26" t="inlineStr">
        <is>
          <t>2026-07-02</t>
        </is>
      </c>
    </row>
    <row r="131" ht="15.75" customHeight="1" s="21">
      <c r="A131" s="26" t="inlineStr">
        <is>
          <t>Puyallup</t>
        </is>
      </c>
      <c r="B131" s="26" t="inlineStr">
        <is>
          <t>Rainier Heating &amp; Cooling</t>
        </is>
      </c>
      <c r="C131" s="26" t="n"/>
      <c r="D131" s="26" t="inlineStr">
        <is>
          <t>Yes</t>
        </is>
      </c>
      <c r="E131" s="26" t="n"/>
      <c r="F131" s="26" t="n"/>
      <c r="G131" s="26" t="n">
        <v>4.9</v>
      </c>
      <c r="H131" s="26" t="n">
        <v>296</v>
      </c>
      <c r="I131" s="42" t="inlineStr">
        <is>
          <t>Skip</t>
        </is>
      </c>
      <c r="J131" s="26" t="n"/>
      <c r="K131" s="26" t="inlineStr">
        <is>
          <t>Probe city - large, not individually site-verified.</t>
        </is>
      </c>
      <c r="L131" s="26" t="inlineStr">
        <is>
          <t>Google Maps</t>
        </is>
      </c>
      <c r="M131" s="26" t="inlineStr">
        <is>
          <t>2026-07-02</t>
        </is>
      </c>
    </row>
    <row r="132" ht="15.75" customHeight="1" s="21">
      <c r="A132" s="26" t="inlineStr">
        <is>
          <t>Puyallup</t>
        </is>
      </c>
      <c r="B132" s="26" t="inlineStr">
        <is>
          <t>Cummings Inc.</t>
        </is>
      </c>
      <c r="C132" s="26" t="n"/>
      <c r="D132" s="26" t="inlineStr">
        <is>
          <t>Yes</t>
        </is>
      </c>
      <c r="E132" s="26" t="n"/>
      <c r="F132" s="26" t="n"/>
      <c r="G132" s="26" t="n">
        <v>4.7</v>
      </c>
      <c r="H132" s="26" t="n">
        <v>229</v>
      </c>
      <c r="I132" s="42" t="inlineStr">
        <is>
          <t>Skip</t>
        </is>
      </c>
      <c r="J132" s="26" t="n"/>
      <c r="K132" s="26" t="inlineStr">
        <is>
          <t>Probe city - large, not individually site-verified.</t>
        </is>
      </c>
      <c r="L132" s="26" t="inlineStr">
        <is>
          <t>Google Maps</t>
        </is>
      </c>
      <c r="M132" s="26" t="inlineStr">
        <is>
          <t>2026-07-02</t>
        </is>
      </c>
    </row>
    <row r="133" ht="15.75" customHeight="1" s="21">
      <c r="A133" s="26" t="inlineStr">
        <is>
          <t>Puyallup</t>
        </is>
      </c>
      <c r="B133" s="26" t="inlineStr">
        <is>
          <t>Ranger Heating &amp; Cooling</t>
        </is>
      </c>
      <c r="C133" s="26" t="n"/>
      <c r="D133" s="26" t="inlineStr">
        <is>
          <t>Yes</t>
        </is>
      </c>
      <c r="E133" s="26" t="n"/>
      <c r="F133" s="26" t="n"/>
      <c r="G133" s="26" t="n">
        <v>4.9</v>
      </c>
      <c r="H133" s="26" t="n">
        <v>1544</v>
      </c>
      <c r="I133" s="42" t="inlineStr">
        <is>
          <t>Skip</t>
        </is>
      </c>
      <c r="J133" s="26" t="n"/>
      <c r="K133" s="26" t="inlineStr">
        <is>
          <t>Probe city - large, not individually site-verified.</t>
        </is>
      </c>
      <c r="L133" s="26" t="inlineStr">
        <is>
          <t>Google Maps</t>
        </is>
      </c>
      <c r="M133" s="26" t="inlineStr">
        <is>
          <t>2026-07-02</t>
        </is>
      </c>
    </row>
    <row r="134" ht="15.75" customHeight="1" s="21">
      <c r="A134" s="26" t="inlineStr">
        <is>
          <t>Yelm</t>
        </is>
      </c>
      <c r="B134" s="26" t="inlineStr">
        <is>
          <t>Christianson's Heating and Cooling</t>
        </is>
      </c>
      <c r="C134" s="26" t="n"/>
      <c r="D134" s="26" t="inlineStr">
        <is>
          <t>Yes</t>
        </is>
      </c>
      <c r="E134" s="26" t="n"/>
      <c r="F134" s="26" t="n"/>
      <c r="G134" s="26" t="n">
        <v>4.9</v>
      </c>
      <c r="H134" s="26" t="n">
        <v>270</v>
      </c>
      <c r="I134" s="42" t="inlineStr">
        <is>
          <t>Skip</t>
        </is>
      </c>
      <c r="J134" s="26" t="n"/>
      <c r="K134" s="26" t="inlineStr">
        <is>
          <t>Large established, not individually site-verified.</t>
        </is>
      </c>
      <c r="L134" s="26" t="inlineStr">
        <is>
          <t>Google Maps</t>
        </is>
      </c>
      <c r="M134" s="26" t="inlineStr">
        <is>
          <t>2026-07-02</t>
        </is>
      </c>
    </row>
    <row r="135" ht="15.75" customHeight="1" s="21">
      <c r="A135" s="26" t="inlineStr">
        <is>
          <t>Yelm</t>
        </is>
      </c>
      <c r="B135" s="26" t="inlineStr">
        <is>
          <t>Americool Heating &amp; Air Conditioning</t>
        </is>
      </c>
      <c r="C135" s="26" t="inlineStr">
        <is>
          <t>(253) 201-2529</t>
        </is>
      </c>
      <c r="D135" s="26" t="inlineStr">
        <is>
          <t>Yes</t>
        </is>
      </c>
      <c r="E135" s="26" t="n"/>
      <c r="F135" s="26" t="n"/>
      <c r="G135" s="26" t="n">
        <v>4.6</v>
      </c>
      <c r="H135" s="26" t="n">
        <v>209</v>
      </c>
      <c r="I135" s="42" t="inlineStr">
        <is>
          <t>Skip</t>
        </is>
      </c>
      <c r="J135" s="26" t="n"/>
      <c r="K135" s="26" t="inlineStr">
        <is>
          <t>Large, running paid ads.</t>
        </is>
      </c>
      <c r="L135" s="26" t="inlineStr">
        <is>
          <t>Google Maps</t>
        </is>
      </c>
      <c r="M135" s="26" t="inlineStr">
        <is>
          <t>2026-07-02</t>
        </is>
      </c>
    </row>
    <row r="136" ht="15.75" customHeight="1" s="21">
      <c r="A136" s="26" t="inlineStr">
        <is>
          <t>Yelm</t>
        </is>
      </c>
      <c r="B136" s="26" t="inlineStr">
        <is>
          <t>Nisqually Valley Air</t>
        </is>
      </c>
      <c r="C136" s="26" t="inlineStr">
        <is>
          <t>(360) 628-2132</t>
        </is>
      </c>
      <c r="D136" s="26" t="inlineStr">
        <is>
          <t>Unknown</t>
        </is>
      </c>
      <c r="E136" s="26" t="n"/>
      <c r="F136" s="26" t="n"/>
      <c r="G136" s="26" t="n">
        <v>5</v>
      </c>
      <c r="H136" s="26" t="n">
        <v>3</v>
      </c>
      <c r="I136" s="42" t="inlineStr">
        <is>
          <t>Skip</t>
        </is>
      </c>
      <c r="J136" s="26" t="n"/>
      <c r="K136" s="26" t="inlineStr">
        <is>
          <t>Too new/too few reviews.</t>
        </is>
      </c>
      <c r="L136" s="26" t="inlineStr">
        <is>
          <t>Google Maps</t>
        </is>
      </c>
      <c r="M136" s="26" t="inlineStr">
        <is>
          <t>2026-07-02</t>
        </is>
      </c>
    </row>
    <row r="137" ht="15.75" customHeight="1" s="21">
      <c r="A137" s="26" t="inlineStr">
        <is>
          <t>Yelm</t>
        </is>
      </c>
      <c r="B137" s="26" t="inlineStr">
        <is>
          <t>IceBerg Mechanical Services LLC</t>
        </is>
      </c>
      <c r="C137" s="26" t="inlineStr">
        <is>
          <t>(360) 688-0255</t>
        </is>
      </c>
      <c r="D137" s="26" t="inlineStr">
        <is>
          <t>Unknown</t>
        </is>
      </c>
      <c r="E137" s="26" t="n"/>
      <c r="F137" s="26" t="n"/>
      <c r="G137" s="26" t="n">
        <v>5</v>
      </c>
      <c r="H137" s="26" t="n">
        <v>6</v>
      </c>
      <c r="I137" s="42" t="inlineStr">
        <is>
          <t>Skip</t>
        </is>
      </c>
      <c r="J137" s="26" t="n"/>
      <c r="K137" s="26" t="inlineStr">
        <is>
          <t>Too new/too few reviews.</t>
        </is>
      </c>
      <c r="L137" s="26" t="inlineStr">
        <is>
          <t>Google Maps</t>
        </is>
      </c>
      <c r="M137" s="26" t="inlineStr">
        <is>
          <t>2026-07-02</t>
        </is>
      </c>
    </row>
    <row r="138" ht="28.5" customHeight="1" s="21">
      <c r="A138" s="26" t="inlineStr">
        <is>
          <t>Yelm</t>
        </is>
      </c>
      <c r="B138" s="26" t="inlineStr">
        <is>
          <t>Christianson's Furnace Repair &amp; A/C Repair</t>
        </is>
      </c>
      <c r="C138" s="26" t="inlineStr">
        <is>
          <t>(253) 364-0495</t>
        </is>
      </c>
      <c r="D138" s="26" t="inlineStr">
        <is>
          <t>Unknown</t>
        </is>
      </c>
      <c r="E138" s="26" t="n"/>
      <c r="F138" s="26" t="n"/>
      <c r="G138" s="26" t="n"/>
      <c r="H138" s="26" t="n">
        <v>0</v>
      </c>
      <c r="I138" s="42" t="inlineStr">
        <is>
          <t>Skip</t>
        </is>
      </c>
      <c r="J138" s="26" t="n"/>
      <c r="K138" s="26" t="inlineStr">
        <is>
          <t>No reviews - too new.</t>
        </is>
      </c>
      <c r="L138" s="26" t="inlineStr">
        <is>
          <t>Google Maps</t>
        </is>
      </c>
      <c r="M138" s="26" t="inlineStr">
        <is>
          <t>2026-07-02</t>
        </is>
      </c>
    </row>
    <row r="139" ht="28.5" customHeight="1" s="21">
      <c r="A139" s="26" t="inlineStr">
        <is>
          <t>Orting</t>
        </is>
      </c>
      <c r="B139" s="26" t="inlineStr">
        <is>
          <t>Mountain Heating &amp; Cooling</t>
        </is>
      </c>
      <c r="C139" s="26" t="n"/>
      <c r="D139" s="26" t="inlineStr">
        <is>
          <t>Yes</t>
        </is>
      </c>
      <c r="E139" s="26" t="n"/>
      <c r="F139" s="26" t="n"/>
      <c r="G139" s="26" t="n"/>
      <c r="H139" s="26" t="n">
        <v>1815</v>
      </c>
      <c r="I139" s="42" t="inlineStr">
        <is>
          <t>Skip</t>
        </is>
      </c>
      <c r="J139" s="26" t="n"/>
      <c r="K139" s="26" t="inlineStr">
        <is>
          <t>Probe city - satellite of Puyallup metro cluster, large, not individually site-verified.</t>
        </is>
      </c>
      <c r="L139" s="26" t="inlineStr">
        <is>
          <t>Google Maps</t>
        </is>
      </c>
      <c r="M139" s="26" t="inlineStr">
        <is>
          <t>2026-07-02</t>
        </is>
      </c>
    </row>
    <row r="140" ht="15.75" customHeight="1" s="21">
      <c r="A140" s="26" t="inlineStr">
        <is>
          <t>Orting</t>
        </is>
      </c>
      <c r="B140" s="26" t="inlineStr">
        <is>
          <t>Optimal HVAC</t>
        </is>
      </c>
      <c r="C140" s="26" t="n"/>
      <c r="D140" s="26" t="inlineStr">
        <is>
          <t>Yes</t>
        </is>
      </c>
      <c r="E140" s="26" t="n"/>
      <c r="F140" s="26" t="n"/>
      <c r="G140" s="26" t="n"/>
      <c r="H140" s="26" t="n">
        <v>540</v>
      </c>
      <c r="I140" s="42" t="inlineStr">
        <is>
          <t>Skip</t>
        </is>
      </c>
      <c r="J140" s="26" t="n"/>
      <c r="K140" s="26" t="inlineStr">
        <is>
          <t>Probe city - large, not individually site-verified.</t>
        </is>
      </c>
      <c r="L140" s="26" t="inlineStr">
        <is>
          <t>Google Maps</t>
        </is>
      </c>
      <c r="M140" s="26" t="inlineStr">
        <is>
          <t>2026-07-02</t>
        </is>
      </c>
    </row>
    <row r="141" ht="28.5" customHeight="1" s="21">
      <c r="A141" s="26" t="inlineStr">
        <is>
          <t>Orting</t>
        </is>
      </c>
      <c r="B141" s="26" t="inlineStr">
        <is>
          <t>Bob's Heating</t>
        </is>
      </c>
      <c r="C141" s="26" t="n"/>
      <c r="D141" s="26" t="inlineStr">
        <is>
          <t>Yes</t>
        </is>
      </c>
      <c r="E141" s="26" t="n"/>
      <c r="F141" s="26" t="n"/>
      <c r="G141" s="26" t="n"/>
      <c r="H141" s="26" t="n">
        <v>455</v>
      </c>
      <c r="I141" s="42" t="inlineStr">
        <is>
          <t>Skip</t>
        </is>
      </c>
      <c r="J141" s="26" t="n"/>
      <c r="K141" s="26" t="inlineStr">
        <is>
          <t>Probe city - large, sponsored, not individually site-verified.</t>
        </is>
      </c>
      <c r="L141" s="26" t="inlineStr">
        <is>
          <t>Google Maps</t>
        </is>
      </c>
      <c r="M141" s="26" t="inlineStr">
        <is>
          <t>2026-07-02</t>
        </is>
      </c>
    </row>
    <row r="142" ht="43.5" customHeight="1" s="21">
      <c r="A142" s="26" t="inlineStr">
        <is>
          <t>Eatonville</t>
        </is>
      </c>
      <c r="B142" s="26" t="inlineStr">
        <is>
          <t>Eatonville Heating &amp; Cooling</t>
        </is>
      </c>
      <c r="C142" s="26" t="inlineStr">
        <is>
          <t>(253) 406-5072</t>
        </is>
      </c>
      <c r="D142" s="26" t="inlineStr">
        <is>
          <t>Yes</t>
        </is>
      </c>
      <c r="E142" s="26" t="inlineStr">
        <is>
          <t>eatonvilleheatingandcooling.com</t>
        </is>
      </c>
      <c r="F142" s="26" t="inlineStr">
        <is>
          <t>Professional modern site, bold branded design, family-owned copy</t>
        </is>
      </c>
      <c r="G142" s="26" t="n">
        <v>5</v>
      </c>
      <c r="H142" s="26" t="n">
        <v>108</v>
      </c>
      <c r="I142" s="42" t="inlineStr">
        <is>
          <t>Skip</t>
        </is>
      </c>
      <c r="J142" s="26" t="n"/>
      <c r="K142" s="26" t="inlineStr">
        <is>
          <t>Professional site already.</t>
        </is>
      </c>
      <c r="L142" s="26" t="inlineStr">
        <is>
          <t>Google Maps</t>
        </is>
      </c>
      <c r="M142" s="26" t="inlineStr">
        <is>
          <t>2026-07-02</t>
        </is>
      </c>
    </row>
    <row r="143" ht="57.75" customHeight="1" s="21">
      <c r="A143" s="26" t="inlineStr">
        <is>
          <t>Eatonville</t>
        </is>
      </c>
      <c r="B143" s="26" t="inlineStr">
        <is>
          <t>Steady Air LLC</t>
        </is>
      </c>
      <c r="C143" s="26" t="inlineStr">
        <is>
          <t>(360) 388-7448</t>
        </is>
      </c>
      <c r="D143" s="26" t="inlineStr">
        <is>
          <t>Yes</t>
        </is>
      </c>
      <c r="E143" s="26" t="inlineStr">
        <is>
          <t>steadyairllc.com</t>
        </is>
      </c>
      <c r="F143" s="26" t="inlineStr">
        <is>
          <t>Professional branded site, dealer badges, social links (Graham, WA)</t>
        </is>
      </c>
      <c r="G143" s="26" t="n">
        <v>4.8</v>
      </c>
      <c r="H143" s="26" t="n">
        <v>39</v>
      </c>
      <c r="I143" s="42" t="inlineStr">
        <is>
          <t>Skip</t>
        </is>
      </c>
      <c r="J143" s="26" t="n"/>
      <c r="K143" s="26" t="inlineStr">
        <is>
          <t>Professional site already.</t>
        </is>
      </c>
      <c r="L143" s="26" t="inlineStr">
        <is>
          <t>Google Maps</t>
        </is>
      </c>
      <c r="M143" s="26" t="inlineStr">
        <is>
          <t>2026-07-02</t>
        </is>
      </c>
    </row>
    <row r="144" ht="57.75" customHeight="1" s="21">
      <c r="A144" s="26" t="inlineStr">
        <is>
          <t>Eatonville</t>
        </is>
      </c>
      <c r="B144" s="26" t="inlineStr">
        <is>
          <t>Flow Tech Heating AC &amp; Electric</t>
        </is>
      </c>
      <c r="C144" s="26" t="inlineStr">
        <is>
          <t>(253) 448-0801</t>
        </is>
      </c>
      <c r="D144" s="26" t="inlineStr">
        <is>
          <t>Yes</t>
        </is>
      </c>
      <c r="E144" s="26" t="inlineStr">
        <is>
          <t>flowtechheatingac.com</t>
        </is>
      </c>
      <c r="F144" s="26" t="inlineStr">
        <is>
          <t>Professional modern site, real branded van photo, lead-capture form</t>
        </is>
      </c>
      <c r="G144" s="26" t="n">
        <v>5</v>
      </c>
      <c r="H144" s="26" t="n">
        <v>82</v>
      </c>
      <c r="I144" s="42" t="inlineStr">
        <is>
          <t>Skip</t>
        </is>
      </c>
      <c r="J144" s="26" t="n"/>
      <c r="K144" s="26" t="inlineStr">
        <is>
          <t>Professional site already.</t>
        </is>
      </c>
      <c r="L144" s="26" t="inlineStr">
        <is>
          <t>Google Maps</t>
        </is>
      </c>
      <c r="M144" s="26" t="inlineStr">
        <is>
          <t>2026-07-02</t>
        </is>
      </c>
    </row>
    <row r="145" ht="15.75" customHeight="1" s="21">
      <c r="A145" s="26" t="inlineStr">
        <is>
          <t>Eatonville</t>
        </is>
      </c>
      <c r="B145" s="26" t="inlineStr">
        <is>
          <t>Infinity Heating &amp; Air</t>
        </is>
      </c>
      <c r="C145" s="26" t="n"/>
      <c r="D145" s="26" t="inlineStr">
        <is>
          <t>Yes</t>
        </is>
      </c>
      <c r="E145" s="26" t="n"/>
      <c r="F145" s="26" t="n"/>
      <c r="G145" s="26" t="n">
        <v>5</v>
      </c>
      <c r="H145" s="26" t="n">
        <v>403</v>
      </c>
      <c r="I145" s="42" t="inlineStr">
        <is>
          <t>Skip</t>
        </is>
      </c>
      <c r="J145" s="26" t="n"/>
      <c r="K145" s="26" t="inlineStr">
        <is>
          <t>Large established, not individually site-verified.</t>
        </is>
      </c>
      <c r="L145" s="26" t="inlineStr">
        <is>
          <t>Google Maps</t>
        </is>
      </c>
      <c r="M145" s="26" t="inlineStr">
        <is>
          <t>2026-07-02</t>
        </is>
      </c>
    </row>
    <row r="146" ht="57.75" customHeight="1" s="21">
      <c r="A146" s="26" t="inlineStr">
        <is>
          <t>Buckley</t>
        </is>
      </c>
      <c r="B146" s="26" t="inlineStr">
        <is>
          <t>Hawk's Heating and Air LLC</t>
        </is>
      </c>
      <c r="C146" s="26" t="inlineStr">
        <is>
          <t>(206) 867-0086</t>
        </is>
      </c>
      <c r="D146" s="26" t="inlineStr">
        <is>
          <t>Yes</t>
        </is>
      </c>
      <c r="E146" s="26" t="inlineStr">
        <is>
          <t>hawksheatingandair.com</t>
        </is>
      </c>
      <c r="F146" s="26" t="inlineStr">
        <is>
          <t>Professional modern branded site (eagle/hawk logo, certifications, financing page)</t>
        </is>
      </c>
      <c r="G146" s="26" t="n">
        <v>5</v>
      </c>
      <c r="H146" s="26" t="n">
        <v>76</v>
      </c>
      <c r="I146" s="42" t="inlineStr">
        <is>
          <t>Skip</t>
        </is>
      </c>
      <c r="J146" s="26" t="n"/>
      <c r="K146" s="26" t="inlineStr">
        <is>
          <t>Professional site already.</t>
        </is>
      </c>
      <c r="L146" s="26" t="inlineStr">
        <is>
          <t>Google Maps</t>
        </is>
      </c>
      <c r="M146" s="26" t="inlineStr">
        <is>
          <t>2026-07-02</t>
        </is>
      </c>
    </row>
    <row r="147" ht="28.5" customHeight="1" s="21">
      <c r="A147" s="26" t="inlineStr">
        <is>
          <t>Buckley</t>
        </is>
      </c>
      <c r="B147" s="26" t="inlineStr">
        <is>
          <t>Treat's Heating &amp; Cooling</t>
        </is>
      </c>
      <c r="C147" s="26" t="inlineStr">
        <is>
          <t>(360) 825-0800</t>
        </is>
      </c>
      <c r="D147" s="26" t="inlineStr">
        <is>
          <t>Yes</t>
        </is>
      </c>
      <c r="E147" s="26" t="inlineStr">
        <is>
          <t>treatsheating.com</t>
        </is>
      </c>
      <c r="F147" s="26" t="inlineStr">
        <is>
          <t>Professional modern site, "since 1973"</t>
        </is>
      </c>
      <c r="G147" s="26" t="n">
        <v>4.7</v>
      </c>
      <c r="H147" s="26" t="n">
        <v>232</v>
      </c>
      <c r="I147" s="42" t="inlineStr">
        <is>
          <t>Skip</t>
        </is>
      </c>
      <c r="J147" s="26" t="n"/>
      <c r="K147" s="26" t="inlineStr">
        <is>
          <t>Actually based in Enumclaw, WA (not Buckley) - surfaced via service-area radius.</t>
        </is>
      </c>
      <c r="L147" s="26" t="inlineStr">
        <is>
          <t>Google Maps</t>
        </is>
      </c>
      <c r="M147" s="26" t="inlineStr">
        <is>
          <t>2026-07-02</t>
        </is>
      </c>
    </row>
    <row r="148" ht="28.5" customHeight="1" s="21">
      <c r="A148" s="26" t="inlineStr">
        <is>
          <t>Buckley</t>
        </is>
      </c>
      <c r="B148" s="26" t="inlineStr">
        <is>
          <t>Able Air Heating &amp; Cooling</t>
        </is>
      </c>
      <c r="C148" s="26" t="n"/>
      <c r="D148" s="26" t="inlineStr">
        <is>
          <t>Yes</t>
        </is>
      </c>
      <c r="E148" s="26" t="inlineStr">
        <is>
          <t>ableairservice.com</t>
        </is>
      </c>
      <c r="F148" s="26" t="inlineStr">
        <is>
          <t>Professional modern site, lead-capture form</t>
        </is>
      </c>
      <c r="G148" s="26" t="n">
        <v>5</v>
      </c>
      <c r="H148" s="26" t="n">
        <v>227</v>
      </c>
      <c r="I148" s="42" t="inlineStr">
        <is>
          <t>Skip</t>
        </is>
      </c>
      <c r="J148" s="26" t="n"/>
      <c r="K148" s="26" t="inlineStr">
        <is>
          <t>Actually based in Enumclaw, WA (not Buckley) - surfaced via service-area radius.</t>
        </is>
      </c>
      <c r="L148" s="26" t="inlineStr">
        <is>
          <t>Google Maps</t>
        </is>
      </c>
      <c r="M148" s="26" t="inlineStr">
        <is>
          <t>2026-07-02</t>
        </is>
      </c>
    </row>
    <row r="149" ht="15.75" customHeight="1" s="21">
      <c r="A149" s="26" t="inlineStr">
        <is>
          <t>Buckley</t>
        </is>
      </c>
      <c r="B149" s="26" t="inlineStr">
        <is>
          <t>Froemke Mechanical</t>
        </is>
      </c>
      <c r="C149" s="26" t="inlineStr">
        <is>
          <t>(253) 508-3102</t>
        </is>
      </c>
      <c r="D149" s="26" t="inlineStr">
        <is>
          <t>Unknown</t>
        </is>
      </c>
      <c r="E149" s="26" t="n"/>
      <c r="F149" s="26" t="n"/>
      <c r="G149" s="26" t="n">
        <v>5</v>
      </c>
      <c r="H149" s="26" t="n">
        <v>3</v>
      </c>
      <c r="I149" s="42" t="inlineStr">
        <is>
          <t>Skip</t>
        </is>
      </c>
      <c r="J149" s="26" t="n"/>
      <c r="K149" s="26" t="inlineStr">
        <is>
          <t>Too new/too few reviews.</t>
        </is>
      </c>
      <c r="L149" s="26" t="inlineStr">
        <is>
          <t>Google Maps</t>
        </is>
      </c>
      <c r="M149" s="26" t="inlineStr">
        <is>
          <t>2026-07-02</t>
        </is>
      </c>
    </row>
    <row r="150" ht="28.5" customHeight="1" s="21">
      <c r="A150" s="26" t="inlineStr">
        <is>
          <t>Buckley</t>
        </is>
      </c>
      <c r="B150" s="26" t="inlineStr">
        <is>
          <t>Froemke Mechanical Htg &amp; Air</t>
        </is>
      </c>
      <c r="C150" s="26" t="inlineStr">
        <is>
          <t>(253) 508-3102</t>
        </is>
      </c>
      <c r="D150" s="26" t="inlineStr">
        <is>
          <t>Unknown</t>
        </is>
      </c>
      <c r="E150" s="26" t="n"/>
      <c r="F150" s="26" t="n"/>
      <c r="G150" s="26" t="n">
        <v>5</v>
      </c>
      <c r="H150" s="26" t="n">
        <v>1</v>
      </c>
      <c r="I150" s="42" t="inlineStr">
        <is>
          <t>Skip</t>
        </is>
      </c>
      <c r="J150" s="26" t="n"/>
      <c r="K150" s="26" t="inlineStr">
        <is>
          <t>Same phone as Froemke Mechanical above - likely duplicate listing, too new.</t>
        </is>
      </c>
      <c r="L150" s="26" t="inlineStr">
        <is>
          <t>Google Maps</t>
        </is>
      </c>
      <c r="M150" s="26" t="inlineStr">
        <is>
          <t>2026-07-02</t>
        </is>
      </c>
    </row>
    <row r="151" ht="72" customHeight="1" s="21">
      <c r="A151" s="26" t="inlineStr">
        <is>
          <t>Port Angeles</t>
        </is>
      </c>
      <c r="B151" s="26" t="inlineStr">
        <is>
          <t>All Weather Heating &amp; Cooling Inc</t>
        </is>
      </c>
      <c r="C151" s="26" t="inlineStr">
        <is>
          <t>(360) 452-9813</t>
        </is>
      </c>
      <c r="D151" s="26" t="inlineStr">
        <is>
          <t>Yes</t>
        </is>
      </c>
      <c r="E151" s="26" t="inlineStr">
        <is>
          <t>allweatherhc.com</t>
        </is>
      </c>
      <c r="F151" s="26" t="inlineStr">
        <is>
          <t>Professional functioning site (financing, specials, real team photo) despite dated gradient-heavy visual style</t>
        </is>
      </c>
      <c r="G151" s="26" t="n">
        <v>4.6</v>
      </c>
      <c r="H151" s="26" t="n">
        <v>62</v>
      </c>
      <c r="I151" s="42" t="inlineStr">
        <is>
          <t>Skip</t>
        </is>
      </c>
      <c r="J151" s="26" t="n"/>
      <c r="K151" s="26" t="inlineStr">
        <is>
          <t>Professional site already (only 1 weak signal, not enough for Warm).</t>
        </is>
      </c>
      <c r="L151" s="26" t="inlineStr">
        <is>
          <t>Google Maps</t>
        </is>
      </c>
      <c r="M151" s="26" t="inlineStr">
        <is>
          <t>2026-07-02</t>
        </is>
      </c>
    </row>
    <row r="152" ht="15.75" customHeight="1" s="21">
      <c r="A152" s="26" t="inlineStr">
        <is>
          <t>Port Angeles</t>
        </is>
      </c>
      <c r="B152" s="26" t="inlineStr">
        <is>
          <t>Hurricane Heat</t>
        </is>
      </c>
      <c r="C152" s="26" t="inlineStr">
        <is>
          <t>(360) 406-0398</t>
        </is>
      </c>
      <c r="D152" s="26" t="inlineStr">
        <is>
          <t>Unknown</t>
        </is>
      </c>
      <c r="E152" s="26" t="n"/>
      <c r="F152" s="26" t="n"/>
      <c r="G152" s="26" t="n">
        <v>5</v>
      </c>
      <c r="H152" s="26" t="n">
        <v>6</v>
      </c>
      <c r="I152" s="42" t="inlineStr">
        <is>
          <t>Skip</t>
        </is>
      </c>
      <c r="J152" s="26" t="n"/>
      <c r="K152" s="26" t="inlineStr">
        <is>
          <t>Too new/too few reviews.</t>
        </is>
      </c>
      <c r="L152" s="26" t="inlineStr">
        <is>
          <t>Google Maps</t>
        </is>
      </c>
      <c r="M152" s="26" t="inlineStr">
        <is>
          <t>2026-07-02</t>
        </is>
      </c>
    </row>
    <row r="153" ht="15.75" customHeight="1" s="21">
      <c r="A153" s="26" t="inlineStr">
        <is>
          <t>Port Angeles</t>
        </is>
      </c>
      <c r="B153" s="26" t="inlineStr">
        <is>
          <t>Absolute Air Inc</t>
        </is>
      </c>
      <c r="C153" s="26" t="inlineStr">
        <is>
          <t>(360) 452-8444</t>
        </is>
      </c>
      <c r="D153" s="26" t="inlineStr">
        <is>
          <t>Unknown</t>
        </is>
      </c>
      <c r="E153" s="26" t="n"/>
      <c r="F153" s="26" t="n"/>
      <c r="G153" s="26" t="n">
        <v>1</v>
      </c>
      <c r="H153" s="26" t="n">
        <v>1</v>
      </c>
      <c r="I153" s="42" t="inlineStr">
        <is>
          <t>Skip</t>
        </is>
      </c>
      <c r="J153" s="26" t="inlineStr">
        <is>
          <t>Glen J Pizzuto (L&amp;I principal)</t>
        </is>
      </c>
      <c r="K153" s="26" t="inlineStr">
        <is>
          <t>Fails 4.0+ star bar.</t>
        </is>
      </c>
      <c r="L153" s="26" t="inlineStr">
        <is>
          <t>Google Maps</t>
        </is>
      </c>
      <c r="M153" s="26" t="inlineStr">
        <is>
          <t>2026-07-02</t>
        </is>
      </c>
    </row>
    <row r="154" ht="15.75" customHeight="1" s="21">
      <c r="A154" s="26" t="inlineStr">
        <is>
          <t>Port Angeles</t>
        </is>
      </c>
      <c r="B154" s="26" t="inlineStr">
        <is>
          <t>Northwest Ductless</t>
        </is>
      </c>
      <c r="C154" s="26" t="inlineStr">
        <is>
          <t>(360) 422-3490</t>
        </is>
      </c>
      <c r="D154" s="26" t="inlineStr">
        <is>
          <t>Unknown</t>
        </is>
      </c>
      <c r="E154" s="26" t="n"/>
      <c r="F154" s="26" t="n"/>
      <c r="G154" s="26" t="n">
        <v>5</v>
      </c>
      <c r="H154" s="26" t="n">
        <v>1</v>
      </c>
      <c r="I154" s="42" t="inlineStr">
        <is>
          <t>Skip</t>
        </is>
      </c>
      <c r="J154" s="26" t="n"/>
      <c r="K154" s="26" t="inlineStr">
        <is>
          <t>Too new, also narrow ductless-only scope.</t>
        </is>
      </c>
      <c r="L154" s="26" t="inlineStr">
        <is>
          <t>Google Maps</t>
        </is>
      </c>
      <c r="M154" s="26" t="inlineStr">
        <is>
          <t>2026-07-02</t>
        </is>
      </c>
    </row>
    <row r="155" ht="15.75" customHeight="1" s="21">
      <c r="A155" s="26" t="inlineStr">
        <is>
          <t>Sequim</t>
        </is>
      </c>
      <c r="B155" s="26" t="inlineStr">
        <is>
          <t>Air Flo Heating Co. Inc</t>
        </is>
      </c>
      <c r="C155" s="26" t="inlineStr">
        <is>
          <t>(360) 683-3901</t>
        </is>
      </c>
      <c r="D155" s="26" t="inlineStr">
        <is>
          <t>Yes</t>
        </is>
      </c>
      <c r="E155" s="26" t="n"/>
      <c r="F155" s="26" t="n"/>
      <c r="G155" s="26" t="n">
        <v>4.9</v>
      </c>
      <c r="H155" s="26" t="n">
        <v>1064</v>
      </c>
      <c r="I155" s="42" t="inlineStr">
        <is>
          <t>Skip</t>
        </is>
      </c>
      <c r="J155" s="26" t="inlineStr">
        <is>
          <t>Mark A Bequette (L&amp;I principal)</t>
        </is>
      </c>
      <c r="K155" s="26" t="inlineStr">
        <is>
          <t>Large established chain, also serves Port Townsend.</t>
        </is>
      </c>
      <c r="L155" s="26" t="inlineStr">
        <is>
          <t>Google Maps</t>
        </is>
      </c>
      <c r="M155" s="26" t="inlineStr">
        <is>
          <t>2026-07-02</t>
        </is>
      </c>
    </row>
    <row r="156" ht="15.75" customHeight="1" s="21">
      <c r="A156" s="26" t="inlineStr">
        <is>
          <t>Sequim</t>
        </is>
      </c>
      <c r="B156" s="26" t="inlineStr">
        <is>
          <t>Peninsula Heat</t>
        </is>
      </c>
      <c r="C156" s="26" t="inlineStr">
        <is>
          <t>(360) 681-3333</t>
        </is>
      </c>
      <c r="D156" s="26" t="inlineStr">
        <is>
          <t>Yes</t>
        </is>
      </c>
      <c r="E156" s="26" t="n"/>
      <c r="F156" s="26" t="n"/>
      <c r="G156" s="26" t="n">
        <v>4.8</v>
      </c>
      <c r="H156" s="26" t="n">
        <v>228</v>
      </c>
      <c r="I156" s="42" t="inlineStr">
        <is>
          <t>Skip</t>
        </is>
      </c>
      <c r="J156" s="26" t="n"/>
      <c r="K156" s="26" t="inlineStr">
        <is>
          <t>Large established, not individually site-verified.</t>
        </is>
      </c>
      <c r="L156" s="26" t="inlineStr">
        <is>
          <t>Google Maps</t>
        </is>
      </c>
      <c r="M156" s="26" t="inlineStr">
        <is>
          <t>2026-07-02</t>
        </is>
      </c>
    </row>
    <row r="157" ht="72" customHeight="1" s="21">
      <c r="A157" s="26" t="inlineStr">
        <is>
          <t>Sequim</t>
        </is>
      </c>
      <c r="B157" s="26" t="inlineStr">
        <is>
          <t>Bill Mair Heating and Air, Inc</t>
        </is>
      </c>
      <c r="C157" s="26" t="inlineStr">
        <is>
          <t>(360) 683-4245</t>
        </is>
      </c>
      <c r="D157" s="26" t="inlineStr">
        <is>
          <t>Yes</t>
        </is>
      </c>
      <c r="E157" s="26" t="inlineStr">
        <is>
          <t>billmairheating.com</t>
        </is>
      </c>
      <c r="F157" s="26" t="inlineStr">
        <is>
          <t>Real branded site, "1st Place Best of Clallam Co." award, real owner/van photo, financing/testimonials pages</t>
        </is>
      </c>
      <c r="G157" s="26" t="n">
        <v>4.8</v>
      </c>
      <c r="H157" s="26" t="n">
        <v>35</v>
      </c>
      <c r="I157" s="42" t="inlineStr">
        <is>
          <t>Skip</t>
        </is>
      </c>
      <c r="J157" s="26" t="n"/>
      <c r="K157" s="26" t="inlineStr">
        <is>
          <t>Professional site; only 1 red flag (gmail contact email) - not enough alone for Warm.</t>
        </is>
      </c>
      <c r="L157" s="26" t="inlineStr">
        <is>
          <t>Google Maps</t>
        </is>
      </c>
      <c r="M157" s="26" t="inlineStr">
        <is>
          <t>2026-07-02</t>
        </is>
      </c>
    </row>
    <row r="158" ht="15.75" customHeight="1" s="21">
      <c r="A158" s="26" t="inlineStr">
        <is>
          <t>Sequim</t>
        </is>
      </c>
      <c r="B158" s="26" t="inlineStr">
        <is>
          <t>Clemco Heating &amp; Cooling</t>
        </is>
      </c>
      <c r="C158" s="26" t="inlineStr">
        <is>
          <t>(360) 670-7408</t>
        </is>
      </c>
      <c r="D158" s="26" t="inlineStr">
        <is>
          <t>Unknown</t>
        </is>
      </c>
      <c r="E158" s="26" t="n"/>
      <c r="F158" s="26" t="n"/>
      <c r="G158" s="26" t="n">
        <v>2</v>
      </c>
      <c r="H158" s="26" t="n">
        <v>8</v>
      </c>
      <c r="I158" s="42" t="inlineStr">
        <is>
          <t>Skip</t>
        </is>
      </c>
      <c r="J158" s="26" t="n"/>
      <c r="K158" s="26" t="inlineStr">
        <is>
          <t>Fails 4.0+ star bar.</t>
        </is>
      </c>
      <c r="L158" s="26" t="inlineStr">
        <is>
          <t>Google Maps</t>
        </is>
      </c>
      <c r="M158" s="26" t="inlineStr">
        <is>
          <t>2026-07-02</t>
        </is>
      </c>
    </row>
    <row r="159" ht="28.5" customHeight="1" s="21">
      <c r="A159" s="26" t="inlineStr">
        <is>
          <t>Sequim</t>
        </is>
      </c>
      <c r="B159" s="26" t="inlineStr">
        <is>
          <t>RC Home Repair Solutions, LLC</t>
        </is>
      </c>
      <c r="C159" s="26" t="inlineStr">
        <is>
          <t>(360) 460-7224</t>
        </is>
      </c>
      <c r="D159" s="26" t="inlineStr">
        <is>
          <t>Unknown</t>
        </is>
      </c>
      <c r="E159" s="26" t="n"/>
      <c r="F159" s="26" t="n"/>
      <c r="G159" s="26" t="n">
        <v>5</v>
      </c>
      <c r="H159" s="26" t="n">
        <v>31</v>
      </c>
      <c r="I159" s="42" t="inlineStr">
        <is>
          <t>Skip</t>
        </is>
      </c>
      <c r="J159" s="26" t="n"/>
      <c r="K159" s="26" t="inlineStr">
        <is>
          <t>Category mismatch - handyman/general contractor (fences, decks, gates), not HVAC.</t>
        </is>
      </c>
      <c r="L159" s="26" t="inlineStr">
        <is>
          <t>Google Maps</t>
        </is>
      </c>
      <c r="M159" s="26" t="inlineStr">
        <is>
          <t>2026-07-02</t>
        </is>
      </c>
    </row>
    <row r="160" ht="15.75" customHeight="1" s="21">
      <c r="A160" s="26" t="inlineStr">
        <is>
          <t>Port Townsend</t>
        </is>
      </c>
      <c r="B160" s="26" t="inlineStr">
        <is>
          <t>Frederickson Electric Inc</t>
        </is>
      </c>
      <c r="C160" s="26" t="inlineStr">
        <is>
          <t>(360) 564-6683</t>
        </is>
      </c>
      <c r="D160" s="26" t="inlineStr">
        <is>
          <t>Yes</t>
        </is>
      </c>
      <c r="E160" s="26" t="n"/>
      <c r="F160" s="26" t="n"/>
      <c r="G160" s="26" t="n">
        <v>5</v>
      </c>
      <c r="H160" s="26" t="n">
        <v>820</v>
      </c>
      <c r="I160" s="42" t="inlineStr">
        <is>
          <t>Skip</t>
        </is>
      </c>
      <c r="J160" s="26" t="n"/>
      <c r="K160" s="26" t="inlineStr">
        <is>
          <t>Large, electric-primary category mismatch.</t>
        </is>
      </c>
      <c r="L160" s="26" t="inlineStr">
        <is>
          <t>Google Maps</t>
        </is>
      </c>
      <c r="M160" s="26" t="inlineStr">
        <is>
          <t>2026-07-02</t>
        </is>
      </c>
    </row>
    <row r="161" ht="15.75" customHeight="1" s="21">
      <c r="A161" s="26" t="inlineStr">
        <is>
          <t>Port Townsend</t>
        </is>
      </c>
      <c r="B161" s="26" t="inlineStr">
        <is>
          <t>Jet Plumbing and Heating LLC</t>
        </is>
      </c>
      <c r="C161" s="26" t="inlineStr">
        <is>
          <t>(360) 302-6861</t>
        </is>
      </c>
      <c r="D161" s="26" t="inlineStr">
        <is>
          <t>Yes</t>
        </is>
      </c>
      <c r="E161" s="26" t="n"/>
      <c r="F161" s="26" t="n"/>
      <c r="G161" s="26" t="n">
        <v>4.9</v>
      </c>
      <c r="H161" s="26" t="n">
        <v>143</v>
      </c>
      <c r="I161" s="42" t="inlineStr">
        <is>
          <t>Skip</t>
        </is>
      </c>
      <c r="J161" s="26" t="n"/>
      <c r="K161" s="26" t="inlineStr">
        <is>
          <t>Plumber-primary category mismatch.</t>
        </is>
      </c>
      <c r="L161" s="26" t="inlineStr">
        <is>
          <t>Google Maps</t>
        </is>
      </c>
      <c r="M161" s="26" t="inlineStr">
        <is>
          <t>2026-07-02</t>
        </is>
      </c>
    </row>
    <row r="162" ht="15.75" customHeight="1" s="21">
      <c r="A162" s="26" t="inlineStr">
        <is>
          <t>Port Townsend</t>
        </is>
      </c>
      <c r="B162" s="26" t="inlineStr">
        <is>
          <t>Ben's Heating Services Inc</t>
        </is>
      </c>
      <c r="C162" s="26" t="inlineStr">
        <is>
          <t>(360) 385-3600</t>
        </is>
      </c>
      <c r="D162" s="26" t="inlineStr">
        <is>
          <t>Unknown</t>
        </is>
      </c>
      <c r="E162" s="26" t="n"/>
      <c r="F162" s="26" t="n"/>
      <c r="G162" s="26" t="n">
        <v>3.4</v>
      </c>
      <c r="H162" s="26" t="n">
        <v>8</v>
      </c>
      <c r="I162" s="42" t="inlineStr">
        <is>
          <t>Skip</t>
        </is>
      </c>
      <c r="J162" s="26" t="n"/>
      <c r="K162" s="26" t="inlineStr">
        <is>
          <t>Fails 4.0+ star bar.</t>
        </is>
      </c>
      <c r="L162" s="26" t="inlineStr">
        <is>
          <t>Google Maps</t>
        </is>
      </c>
      <c r="M162" s="26" t="inlineStr">
        <is>
          <t>2026-07-02</t>
        </is>
      </c>
    </row>
    <row r="163" ht="15.75" customHeight="1" s="21">
      <c r="A163" s="26" t="inlineStr">
        <is>
          <t>Port Townsend</t>
        </is>
      </c>
      <c r="B163" s="26" t="inlineStr">
        <is>
          <t>Aloha Plumbing Inc</t>
        </is>
      </c>
      <c r="C163" s="26" t="inlineStr">
        <is>
          <t>(360) 301-2807</t>
        </is>
      </c>
      <c r="D163" s="26" t="inlineStr">
        <is>
          <t>Unknown</t>
        </is>
      </c>
      <c r="E163" s="26" t="n"/>
      <c r="F163" s="26" t="n"/>
      <c r="G163" s="26" t="n">
        <v>4.8</v>
      </c>
      <c r="H163" s="26" t="n">
        <v>16</v>
      </c>
      <c r="I163" s="42" t="inlineStr">
        <is>
          <t>Skip</t>
        </is>
      </c>
      <c r="J163" s="26" t="n"/>
      <c r="K163" s="26" t="inlineStr">
        <is>
          <t>Plumber category mismatch, also below threshold.</t>
        </is>
      </c>
      <c r="L163" s="26" t="inlineStr">
        <is>
          <t>Google Maps</t>
        </is>
      </c>
      <c r="M163" s="26" t="inlineStr">
        <is>
          <t>2026-07-02</t>
        </is>
      </c>
    </row>
    <row r="164" ht="28.5" customHeight="1" s="21">
      <c r="A164" s="26" t="inlineStr">
        <is>
          <t>Port Townsend</t>
        </is>
      </c>
      <c r="B164" s="26" t="inlineStr">
        <is>
          <t>HUDZ Dryer vent &amp; Air Duct Cleaning Services Of WA</t>
        </is>
      </c>
      <c r="C164" s="26" t="inlineStr">
        <is>
          <t>(206) 970-6848</t>
        </is>
      </c>
      <c r="D164" s="26" t="inlineStr">
        <is>
          <t>Unknown</t>
        </is>
      </c>
      <c r="E164" s="26" t="n"/>
      <c r="F164" s="26" t="n"/>
      <c r="G164" s="26" t="n">
        <v>4.7</v>
      </c>
      <c r="H164" s="26" t="n">
        <v>12</v>
      </c>
      <c r="I164" s="42" t="inlineStr">
        <is>
          <t>Skip</t>
        </is>
      </c>
      <c r="J164" s="26" t="n"/>
      <c r="K164" s="26" t="inlineStr">
        <is>
          <t>Narrow duct-cleaning scope, below threshold.</t>
        </is>
      </c>
      <c r="L164" s="26" t="inlineStr">
        <is>
          <t>Google Maps</t>
        </is>
      </c>
      <c r="M164" s="26" t="inlineStr">
        <is>
          <t>2026-07-02</t>
        </is>
      </c>
    </row>
    <row r="165" ht="28.5" customHeight="1" s="21">
      <c r="A165" s="26" t="inlineStr">
        <is>
          <t>Everson</t>
        </is>
      </c>
      <c r="B165" s="26" t="inlineStr">
        <is>
          <t>Ronk Brothers Heating, Cooling, and Electrical</t>
        </is>
      </c>
      <c r="C165" s="26" t="inlineStr">
        <is>
          <t>(360) 325-4416</t>
        </is>
      </c>
      <c r="D165" s="26" t="inlineStr">
        <is>
          <t>Yes</t>
        </is>
      </c>
      <c r="E165" s="26" t="n"/>
      <c r="F165" s="26" t="n"/>
      <c r="G165" s="26" t="n">
        <v>4.9</v>
      </c>
      <c r="H165" s="26" t="n">
        <v>948</v>
      </c>
      <c r="I165" s="42" t="inlineStr">
        <is>
          <t>Skip</t>
        </is>
      </c>
      <c r="J165" s="26" t="n"/>
      <c r="K165" s="26" t="inlineStr">
        <is>
          <t>Large established, not individually site-verified.</t>
        </is>
      </c>
      <c r="L165" s="26" t="inlineStr">
        <is>
          <t>Google Maps</t>
        </is>
      </c>
      <c r="M165" s="26" t="inlineStr">
        <is>
          <t>2026-07-02</t>
        </is>
      </c>
    </row>
    <row r="166" ht="15.75" customHeight="1" s="21">
      <c r="A166" s="26" t="inlineStr">
        <is>
          <t>Everson</t>
        </is>
      </c>
      <c r="B166" s="26" t="inlineStr">
        <is>
          <t>LaVergne's Plumbing &amp; Heating</t>
        </is>
      </c>
      <c r="C166" s="26" t="inlineStr">
        <is>
          <t>(360) 685-8019</t>
        </is>
      </c>
      <c r="D166" s="26" t="inlineStr">
        <is>
          <t>Yes</t>
        </is>
      </c>
      <c r="E166" s="26" t="n"/>
      <c r="F166" s="26" t="n"/>
      <c r="G166" s="26" t="n">
        <v>4.7</v>
      </c>
      <c r="H166" s="26" t="n">
        <v>1145</v>
      </c>
      <c r="I166" s="42" t="inlineStr">
        <is>
          <t>Skip</t>
        </is>
      </c>
      <c r="J166" s="26" t="n"/>
      <c r="K166" s="26" t="inlineStr">
        <is>
          <t>Large, plumber-primary category mismatch.</t>
        </is>
      </c>
      <c r="L166" s="26" t="inlineStr">
        <is>
          <t>Google Maps</t>
        </is>
      </c>
      <c r="M166" s="26" t="inlineStr">
        <is>
          <t>2026-07-02</t>
        </is>
      </c>
    </row>
    <row r="167" ht="15.75" customHeight="1" s="21">
      <c r="A167" s="26" t="inlineStr">
        <is>
          <t>Everson</t>
        </is>
      </c>
      <c r="B167" s="26" t="inlineStr">
        <is>
          <t>EcoGreen Ductless LLC</t>
        </is>
      </c>
      <c r="C167" s="26" t="inlineStr">
        <is>
          <t>(360) 296-3684</t>
        </is>
      </c>
      <c r="D167" s="26" t="inlineStr">
        <is>
          <t>Unknown</t>
        </is>
      </c>
      <c r="E167" s="26" t="n"/>
      <c r="F167" s="26" t="n"/>
      <c r="G167" s="26" t="n">
        <v>4.3</v>
      </c>
      <c r="H167" s="26" t="n">
        <v>6</v>
      </c>
      <c r="I167" s="42" t="inlineStr">
        <is>
          <t>Skip</t>
        </is>
      </c>
      <c r="J167" s="26" t="n"/>
      <c r="K167" s="26" t="inlineStr">
        <is>
          <t>Too new, also narrow ductless-only scope.</t>
        </is>
      </c>
      <c r="L167" s="26" t="inlineStr">
        <is>
          <t>Google Maps</t>
        </is>
      </c>
      <c r="M167" s="26" t="inlineStr">
        <is>
          <t>2026-07-02</t>
        </is>
      </c>
    </row>
    <row r="168" ht="28.5" customHeight="1" s="21">
      <c r="A168" s="26" t="inlineStr">
        <is>
          <t>Nooksack</t>
        </is>
      </c>
      <c r="B168" s="26" t="inlineStr">
        <is>
          <t>Marr's Heating, AC, Plumbing &amp; Electrical</t>
        </is>
      </c>
      <c r="C168" s="26" t="inlineStr">
        <is>
          <t>(855) 202-7062</t>
        </is>
      </c>
      <c r="D168" s="26" t="inlineStr">
        <is>
          <t>Yes</t>
        </is>
      </c>
      <c r="E168" s="26" t="n"/>
      <c r="F168" s="26" t="n"/>
      <c r="G168" s="26" t="n">
        <v>4.9</v>
      </c>
      <c r="H168" s="26" t="n">
        <v>1952</v>
      </c>
      <c r="I168" s="42" t="inlineStr">
        <is>
          <t>Skip</t>
        </is>
      </c>
      <c r="J168" s="26" t="n"/>
      <c r="K168" s="26" t="inlineStr">
        <is>
          <t>Large established chain, too corporate.</t>
        </is>
      </c>
      <c r="L168" s="26" t="inlineStr">
        <is>
          <t>Google Maps</t>
        </is>
      </c>
      <c r="M168" s="26" t="inlineStr">
        <is>
          <t>2026-07-02</t>
        </is>
      </c>
    </row>
    <row r="169" ht="28.5" customHeight="1" s="21">
      <c r="A169" s="26" t="inlineStr">
        <is>
          <t>Deming</t>
        </is>
      </c>
      <c r="B169" s="26" t="inlineStr">
        <is>
          <t>Imperial Heating + Cooling</t>
        </is>
      </c>
      <c r="C169" s="26" t="inlineStr">
        <is>
          <t>(360) 325-9899</t>
        </is>
      </c>
      <c r="D169" s="26" t="inlineStr">
        <is>
          <t>Unknown</t>
        </is>
      </c>
      <c r="E169" s="26" t="n"/>
      <c r="F169" s="26" t="n"/>
      <c r="G169" s="26" t="n">
        <v>4.2</v>
      </c>
      <c r="H169" s="26" t="n">
        <v>5</v>
      </c>
      <c r="I169" s="42" t="inlineStr">
        <is>
          <t>Skip</t>
        </is>
      </c>
      <c r="J169" s="26" t="n"/>
      <c r="K169" s="26" t="inlineStr">
        <is>
          <t>Genuinely Deming-area address (7463 Mt Baker Hwy C) but too new/too few reviews.</t>
        </is>
      </c>
      <c r="L169" s="26" t="inlineStr">
        <is>
          <t>Google Maps</t>
        </is>
      </c>
      <c r="M169" s="26" t="inlineStr">
        <is>
          <t>2026-07-02</t>
        </is>
      </c>
    </row>
    <row r="170" ht="72" customHeight="1" s="21">
      <c r="A170" s="26" t="inlineStr">
        <is>
          <t>Sedro-Woolley</t>
        </is>
      </c>
      <c r="B170" s="26" t="inlineStr">
        <is>
          <t>Taxdahl Heating &amp; Air Conditioning</t>
        </is>
      </c>
      <c r="C170" s="26" t="inlineStr">
        <is>
          <t>(360) 708-4675</t>
        </is>
      </c>
      <c r="D170" s="26" t="inlineStr">
        <is>
          <t>Yes</t>
        </is>
      </c>
      <c r="E170" s="26" t="inlineStr">
        <is>
          <t>taxdahlheating.com</t>
        </is>
      </c>
      <c r="F170" s="26" t="inlineStr">
        <is>
          <t>Professional multi-page site (About, Areas Served, Heating Services, HVAC Installation, Contact)</t>
        </is>
      </c>
      <c r="G170" s="26" t="n">
        <v>4.9</v>
      </c>
      <c r="H170" s="26" t="n">
        <v>31</v>
      </c>
      <c r="I170" s="42" t="inlineStr">
        <is>
          <t>Skip</t>
        </is>
      </c>
      <c r="J170" s="26" t="n"/>
      <c r="K170" s="26" t="inlineStr">
        <is>
          <t>Surfaced under both Concrete and Deming searches via service-area radius pull-in (cross-region false positive per Step 11); actual address is Sedro-Woolley, WA.</t>
        </is>
      </c>
      <c r="L170" s="26" t="inlineStr">
        <is>
          <t>Google Maps</t>
        </is>
      </c>
      <c r="M170" s="26" t="inlineStr">
        <is>
          <t>2026-07-02</t>
        </is>
      </c>
    </row>
    <row r="171" ht="15.75" customHeight="1" s="21">
      <c r="A171" s="26" t="inlineStr">
        <is>
          <t>Concrete</t>
        </is>
      </c>
      <c r="B171" s="26" t="inlineStr">
        <is>
          <t>Cascade Climate</t>
        </is>
      </c>
      <c r="C171" s="26" t="inlineStr">
        <is>
          <t>(425) 923-9089</t>
        </is>
      </c>
      <c r="D171" s="26" t="inlineStr">
        <is>
          <t>Unknown</t>
        </is>
      </c>
      <c r="E171" s="26" t="n"/>
      <c r="F171" s="26" t="n"/>
      <c r="G171" s="26" t="n">
        <v>5</v>
      </c>
      <c r="H171" s="26" t="n">
        <v>1</v>
      </c>
      <c r="I171" s="42" t="inlineStr">
        <is>
          <t>Skip</t>
        </is>
      </c>
      <c r="J171" s="26" t="n"/>
      <c r="K171" s="26" t="inlineStr">
        <is>
          <t>Too new/too few reviews.</t>
        </is>
      </c>
      <c r="L171" s="26" t="inlineStr">
        <is>
          <t>Google Maps</t>
        </is>
      </c>
      <c r="M171" s="26" t="inlineStr">
        <is>
          <t>2026-07-02</t>
        </is>
      </c>
    </row>
    <row r="172" ht="72" customHeight="1" s="21">
      <c r="A172" s="26" t="inlineStr">
        <is>
          <t>Aberdeen</t>
        </is>
      </c>
      <c r="B172" s="26" t="inlineStr">
        <is>
          <t>Actionaire</t>
        </is>
      </c>
      <c r="C172" s="26" t="inlineStr">
        <is>
          <t>(360) 538-0873</t>
        </is>
      </c>
      <c r="D172" s="26" t="inlineStr">
        <is>
          <t>Yes</t>
        </is>
      </c>
      <c r="E172" s="26" t="inlineStr">
        <is>
          <t>actionairewa.com</t>
        </is>
      </c>
      <c r="F172" s="26" t="inlineStr">
        <is>
          <t>Professional modern site, hero slider, "Get a Quote"/"Book Now" CTAs, branded black/gold design</t>
        </is>
      </c>
      <c r="G172" s="26" t="n">
        <v>4.2</v>
      </c>
      <c r="H172" s="26" t="n">
        <v>127</v>
      </c>
      <c r="I172" s="42" t="inlineStr">
        <is>
          <t>Skip</t>
        </is>
      </c>
      <c r="J172" s="26" t="n"/>
      <c r="K172" s="26" t="inlineStr">
        <is>
          <t>Actually based in Hoquiam, WA. Professional site already.</t>
        </is>
      </c>
      <c r="L172" s="26" t="inlineStr">
        <is>
          <t>Google Maps</t>
        </is>
      </c>
      <c r="M172" s="26" t="inlineStr">
        <is>
          <t>2026-07-02</t>
        </is>
      </c>
    </row>
    <row r="173" ht="57.75" customHeight="1" s="21">
      <c r="A173" s="26" t="inlineStr">
        <is>
          <t>Aberdeen</t>
        </is>
      </c>
      <c r="B173" s="26" t="inlineStr">
        <is>
          <t>Advanced Heating &amp; Air, LLC</t>
        </is>
      </c>
      <c r="C173" s="26" t="inlineStr">
        <is>
          <t>(360) 207-1269</t>
        </is>
      </c>
      <c r="D173" s="26" t="inlineStr">
        <is>
          <t>Yes</t>
        </is>
      </c>
      <c r="E173" s="26" t="inlineStr">
        <is>
          <t>advancedheating1.com</t>
        </is>
      </c>
      <c r="F173" s="26" t="inlineStr">
        <is>
          <t>Professional modern site, real logo, clear branding, "Book Now"/"Contact Us" CTAs</t>
        </is>
      </c>
      <c r="G173" s="26" t="n">
        <v>4.8</v>
      </c>
      <c r="H173" s="26" t="n">
        <v>170</v>
      </c>
      <c r="I173" s="42" t="inlineStr">
        <is>
          <t>Skip</t>
        </is>
      </c>
      <c r="J173" s="26" t="n"/>
      <c r="K173" s="26" t="inlineStr">
        <is>
          <t>Actually based in Cosmopolis, WA. Founded 2004 by Chad and Kellie Larson. Professional site already.</t>
        </is>
      </c>
      <c r="L173" s="26" t="inlineStr">
        <is>
          <t>Google Maps</t>
        </is>
      </c>
      <c r="M173" s="26" t="inlineStr">
        <is>
          <t>2026-07-02</t>
        </is>
      </c>
    </row>
    <row r="174" ht="15.75" customHeight="1" s="21">
      <c r="A174" s="26" t="inlineStr">
        <is>
          <t>Aberdeen</t>
        </is>
      </c>
      <c r="B174" s="26" t="inlineStr">
        <is>
          <t>Chehalis Sheet Metal Heating &amp; AC</t>
        </is>
      </c>
      <c r="C174" s="26" t="inlineStr">
        <is>
          <t>(800) 201-9221</t>
        </is>
      </c>
      <c r="D174" s="26" t="inlineStr">
        <is>
          <t>Yes</t>
        </is>
      </c>
      <c r="E174" s="26" t="n"/>
      <c r="F174" s="26" t="n"/>
      <c r="G174" s="26" t="n">
        <v>3.7</v>
      </c>
      <c r="H174" s="26" t="n">
        <v>3</v>
      </c>
      <c r="I174" s="42" t="inlineStr">
        <is>
          <t>Skip</t>
        </is>
      </c>
      <c r="J174" s="26" t="n"/>
      <c r="K174" s="26" t="inlineStr">
        <is>
          <t>Fails 4.0+ star bar.</t>
        </is>
      </c>
      <c r="L174" s="26" t="inlineStr">
        <is>
          <t>Google Maps</t>
        </is>
      </c>
      <c r="M174" s="26" t="inlineStr">
        <is>
          <t>2026-07-02</t>
        </is>
      </c>
    </row>
    <row r="175" ht="28.5" customHeight="1" s="21">
      <c r="A175" s="26" t="inlineStr">
        <is>
          <t>Aberdeen</t>
        </is>
      </c>
      <c r="B175" s="26" t="inlineStr">
        <is>
          <t>Sunset Air</t>
        </is>
      </c>
      <c r="C175" s="26" t="inlineStr">
        <is>
          <t>(360) 456-4956</t>
        </is>
      </c>
      <c r="D175" s="26" t="inlineStr">
        <is>
          <t>Yes</t>
        </is>
      </c>
      <c r="E175" s="26" t="n"/>
      <c r="F175" s="26" t="n"/>
      <c r="G175" s="26" t="n">
        <v>4.9</v>
      </c>
      <c r="H175" s="26" t="n">
        <v>1322</v>
      </c>
      <c r="I175" s="42" t="inlineStr">
        <is>
          <t>Skip</t>
        </is>
      </c>
      <c r="J175" s="26" t="n"/>
      <c r="K175" s="26" t="inlineStr">
        <is>
          <t>Large established chain, not individually site-verified.</t>
        </is>
      </c>
      <c r="L175" s="26" t="inlineStr">
        <is>
          <t>Google Maps</t>
        </is>
      </c>
      <c r="M175" s="26" t="inlineStr">
        <is>
          <t>2026-07-02</t>
        </is>
      </c>
    </row>
    <row r="176" ht="15.75" customHeight="1" s="21">
      <c r="A176" s="26" t="inlineStr">
        <is>
          <t>Aberdeen</t>
        </is>
      </c>
      <c r="B176" s="26" t="inlineStr">
        <is>
          <t>Harbor Ventilation Inc</t>
        </is>
      </c>
      <c r="C176" s="26" t="inlineStr">
        <is>
          <t>(360) 532-6681</t>
        </is>
      </c>
      <c r="D176" s="26" t="inlineStr">
        <is>
          <t>Unknown</t>
        </is>
      </c>
      <c r="E176" s="26" t="n"/>
      <c r="F176" s="26" t="n"/>
      <c r="G176" s="26" t="n"/>
      <c r="H176" s="26" t="n">
        <v>0</v>
      </c>
      <c r="I176" s="42" t="inlineStr">
        <is>
          <t>Skip</t>
        </is>
      </c>
      <c r="J176" s="26" t="n"/>
      <c r="K176" s="26" t="inlineStr">
        <is>
          <t>No reviews - too new.</t>
        </is>
      </c>
      <c r="L176" s="26" t="inlineStr">
        <is>
          <t>Google Maps</t>
        </is>
      </c>
      <c r="M176" s="26" t="inlineStr">
        <is>
          <t>2026-07-02</t>
        </is>
      </c>
    </row>
    <row r="177" ht="57.75" customHeight="1" s="21">
      <c r="A177" s="26" t="inlineStr">
        <is>
          <t>Montesano</t>
        </is>
      </c>
      <c r="B177" s="26" t="inlineStr">
        <is>
          <t>Draft Air Mechanical LLC</t>
        </is>
      </c>
      <c r="C177" s="26" t="inlineStr">
        <is>
          <t>(360) 814-3338</t>
        </is>
      </c>
      <c r="D177" s="26" t="inlineStr">
        <is>
          <t>Yes</t>
        </is>
      </c>
      <c r="E177" s="26" t="inlineStr">
        <is>
          <t>draftairmechanical.com</t>
        </is>
      </c>
      <c r="F177" s="26" t="inlineStr">
        <is>
          <t>Professional site with real owner/truck photo, branded logo, financing link</t>
        </is>
      </c>
      <c r="G177" s="26" t="n">
        <v>5</v>
      </c>
      <c r="H177" s="26" t="n">
        <v>101</v>
      </c>
      <c r="I177" s="42" t="inlineStr">
        <is>
          <t>Skip</t>
        </is>
      </c>
      <c r="J177" s="26" t="n"/>
      <c r="K177" s="26" t="inlineStr">
        <is>
          <t>Actually based in Oakville/Tumwater area, serves Grays River. Professional site already.</t>
        </is>
      </c>
      <c r="L177" s="26" t="inlineStr">
        <is>
          <t>Google Maps</t>
        </is>
      </c>
      <c r="M177" s="26" t="inlineStr">
        <is>
          <t>2026-07-02</t>
        </is>
      </c>
    </row>
    <row r="178" ht="15.75" customHeight="1" s="21">
      <c r="A178" s="26" t="inlineStr">
        <is>
          <t>Chehalis</t>
        </is>
      </c>
      <c r="B178" s="26" t="inlineStr">
        <is>
          <t>Chehalis Sheet Metal</t>
        </is>
      </c>
      <c r="C178" s="26" t="inlineStr">
        <is>
          <t>(360) 200-0620</t>
        </is>
      </c>
      <c r="D178" s="26" t="inlineStr">
        <is>
          <t>Yes</t>
        </is>
      </c>
      <c r="E178" s="26" t="n"/>
      <c r="F178" s="26" t="n"/>
      <c r="G178" s="26" t="n">
        <v>4.8</v>
      </c>
      <c r="H178" s="26" t="n">
        <v>325</v>
      </c>
      <c r="I178" s="42" t="inlineStr">
        <is>
          <t>Skip</t>
        </is>
      </c>
      <c r="J178" s="26" t="n"/>
      <c r="K178" s="26" t="inlineStr">
        <is>
          <t>Large established, not individually site-verified.</t>
        </is>
      </c>
      <c r="L178" s="26" t="inlineStr">
        <is>
          <t>Google Maps</t>
        </is>
      </c>
      <c r="M178" s="26" t="inlineStr">
        <is>
          <t>2026-07-02</t>
        </is>
      </c>
    </row>
    <row r="179" ht="28.5" customHeight="1" s="21">
      <c r="A179" s="26" t="inlineStr">
        <is>
          <t>Chehalis</t>
        </is>
      </c>
      <c r="B179" s="26" t="inlineStr">
        <is>
          <t>CSM Heating Cooling &amp; Roofing</t>
        </is>
      </c>
      <c r="C179" s="26" t="inlineStr">
        <is>
          <t>(360) 207-0329</t>
        </is>
      </c>
      <c r="D179" s="26" t="inlineStr">
        <is>
          <t>Yes</t>
        </is>
      </c>
      <c r="E179" s="26" t="n"/>
      <c r="F179" s="26" t="n"/>
      <c r="G179" s="26" t="n">
        <v>4.8</v>
      </c>
      <c r="H179" s="26" t="n">
        <v>266</v>
      </c>
      <c r="I179" s="42" t="inlineStr">
        <is>
          <t>Skip</t>
        </is>
      </c>
      <c r="J179" s="26" t="n"/>
      <c r="K179" s="26" t="inlineStr">
        <is>
          <t>Large established, running paid ads, not individually site-verified.</t>
        </is>
      </c>
      <c r="L179" s="26" t="inlineStr">
        <is>
          <t>Google Maps</t>
        </is>
      </c>
      <c r="M179" s="26" t="inlineStr">
        <is>
          <t>2026-07-02</t>
        </is>
      </c>
    </row>
    <row r="180" ht="15.75" customHeight="1" s="21">
      <c r="A180" s="26" t="inlineStr">
        <is>
          <t>Chehalis</t>
        </is>
      </c>
      <c r="B180" s="26" t="inlineStr">
        <is>
          <t>Twin County Mechanical LLC</t>
        </is>
      </c>
      <c r="C180" s="26" t="n"/>
      <c r="D180" s="26" t="inlineStr">
        <is>
          <t>Unknown</t>
        </is>
      </c>
      <c r="E180" s="26" t="n"/>
      <c r="F180" s="26" t="n"/>
      <c r="G180" s="26" t="n"/>
      <c r="H180" s="26" t="n">
        <v>0</v>
      </c>
      <c r="I180" s="42" t="inlineStr">
        <is>
          <t>Skip</t>
        </is>
      </c>
      <c r="J180" s="26" t="n"/>
      <c r="K180" s="26" t="inlineStr">
        <is>
          <t>No reviews - too new.</t>
        </is>
      </c>
      <c r="L180" s="26" t="inlineStr">
        <is>
          <t>Google Maps</t>
        </is>
      </c>
      <c r="M180" s="26" t="inlineStr">
        <is>
          <t>2026-07-02</t>
        </is>
      </c>
    </row>
    <row r="181" ht="15.75" customHeight="1" s="21">
      <c r="A181" s="26" t="inlineStr">
        <is>
          <t>Chehalis</t>
        </is>
      </c>
      <c r="B181" s="26" t="inlineStr">
        <is>
          <t>Sears Heating and Air Conditioning</t>
        </is>
      </c>
      <c r="C181" s="26" t="n"/>
      <c r="D181" s="26" t="inlineStr">
        <is>
          <t>Unknown</t>
        </is>
      </c>
      <c r="E181" s="26" t="n"/>
      <c r="F181" s="26" t="n"/>
      <c r="G181" s="26" t="n"/>
      <c r="H181" s="26" t="n">
        <v>0</v>
      </c>
      <c r="I181" s="42" t="inlineStr">
        <is>
          <t>Skip</t>
        </is>
      </c>
      <c r="J181" s="26" t="n"/>
      <c r="K181" s="26" t="inlineStr">
        <is>
          <t>No reviews - too new.</t>
        </is>
      </c>
      <c r="L181" s="26" t="inlineStr">
        <is>
          <t>Google Maps</t>
        </is>
      </c>
      <c r="M181" s="26" t="inlineStr">
        <is>
          <t>2026-07-02</t>
        </is>
      </c>
    </row>
    <row r="182" ht="15.75" customHeight="1" s="21">
      <c r="A182" s="26" t="inlineStr">
        <is>
          <t>Centralia</t>
        </is>
      </c>
      <c r="B182" s="26" t="inlineStr">
        <is>
          <t>Perfect Temp INC</t>
        </is>
      </c>
      <c r="C182" s="26" t="inlineStr">
        <is>
          <t>(360) 890-4312</t>
        </is>
      </c>
      <c r="D182" s="26" t="inlineStr">
        <is>
          <t>Yes</t>
        </is>
      </c>
      <c r="E182" s="26" t="n"/>
      <c r="F182" s="26" t="n"/>
      <c r="G182" s="26" t="n">
        <v>5</v>
      </c>
      <c r="H182" s="26" t="n">
        <v>830</v>
      </c>
      <c r="I182" s="42" t="inlineStr">
        <is>
          <t>Skip</t>
        </is>
      </c>
      <c r="J182" s="26" t="n"/>
      <c r="K182" s="26" t="inlineStr">
        <is>
          <t>Large established, not individually site-verified.</t>
        </is>
      </c>
      <c r="L182" s="26" t="inlineStr">
        <is>
          <t>Google Maps</t>
        </is>
      </c>
      <c r="M182" s="26" t="inlineStr">
        <is>
          <t>2026-07-02</t>
        </is>
      </c>
    </row>
    <row r="183" ht="15.75" customHeight="1" s="21">
      <c r="A183" s="26" t="inlineStr">
        <is>
          <t>Centralia</t>
        </is>
      </c>
      <c r="B183" s="26" t="inlineStr">
        <is>
          <t>Green Energy Systems HVAC</t>
        </is>
      </c>
      <c r="C183" s="26" t="inlineStr">
        <is>
          <t>(360) 349-2018</t>
        </is>
      </c>
      <c r="D183" s="26" t="inlineStr">
        <is>
          <t>Unknown</t>
        </is>
      </c>
      <c r="E183" s="26" t="n"/>
      <c r="F183" s="26" t="n"/>
      <c r="G183" s="26" t="n">
        <v>5</v>
      </c>
      <c r="H183" s="26" t="n">
        <v>3</v>
      </c>
      <c r="I183" s="42" t="inlineStr">
        <is>
          <t>Skip</t>
        </is>
      </c>
      <c r="J183" s="26" t="n"/>
      <c r="K183" s="26" t="inlineStr">
        <is>
          <t>Too new/too few reviews.</t>
        </is>
      </c>
      <c r="L183" s="26" t="inlineStr">
        <is>
          <t>Google Maps</t>
        </is>
      </c>
      <c r="M183" s="26" t="inlineStr">
        <is>
          <t>2026-07-02</t>
        </is>
      </c>
    </row>
    <row r="184" ht="28.5" customHeight="1" s="21">
      <c r="A184" s="26" t="inlineStr">
        <is>
          <t>Olympia</t>
        </is>
      </c>
      <c r="B184" s="26" t="inlineStr">
        <is>
          <t>Pacific Air Heating and Air Conditioning, Inc.</t>
        </is>
      </c>
      <c r="C184" s="26" t="inlineStr">
        <is>
          <t>(360) 357-4328</t>
        </is>
      </c>
      <c r="D184" s="26" t="inlineStr">
        <is>
          <t>Yes</t>
        </is>
      </c>
      <c r="E184" s="26" t="n"/>
      <c r="F184" s="26" t="n"/>
      <c r="G184" s="26" t="n">
        <v>4.8</v>
      </c>
      <c r="H184" s="26" t="n">
        <v>229</v>
      </c>
      <c r="I184" s="42" t="inlineStr">
        <is>
          <t>Skip</t>
        </is>
      </c>
      <c r="J184" s="26" t="n"/>
      <c r="K184" s="26" t="inlineStr">
        <is>
          <t>Large established, not individually site-verified.</t>
        </is>
      </c>
      <c r="L184" s="26" t="inlineStr">
        <is>
          <t>Google Maps</t>
        </is>
      </c>
      <c r="M184" s="26" t="inlineStr">
        <is>
          <t>2026-07-02</t>
        </is>
      </c>
    </row>
    <row r="185" ht="15.75" customHeight="1" s="21">
      <c r="A185" s="26" t="inlineStr">
        <is>
          <t>Olympia</t>
        </is>
      </c>
      <c r="B185" s="26" t="inlineStr">
        <is>
          <t>Black Hills, Inc.</t>
        </is>
      </c>
      <c r="C185" s="26" t="inlineStr">
        <is>
          <t>(360) 525-9199</t>
        </is>
      </c>
      <c r="D185" s="26" t="inlineStr">
        <is>
          <t>Yes</t>
        </is>
      </c>
      <c r="E185" s="26" t="n"/>
      <c r="F185" s="26" t="n"/>
      <c r="G185" s="26" t="n">
        <v>4.8</v>
      </c>
      <c r="H185" s="26" t="n">
        <v>5933</v>
      </c>
      <c r="I185" s="42" t="inlineStr">
        <is>
          <t>Skip</t>
        </is>
      </c>
      <c r="J185" s="26" t="n"/>
      <c r="K185" s="26" t="inlineStr">
        <is>
          <t>Very large established chain.</t>
        </is>
      </c>
      <c r="L185" s="26" t="inlineStr">
        <is>
          <t>Google Maps</t>
        </is>
      </c>
      <c r="M185" s="26" t="inlineStr">
        <is>
          <t>2026-07-02</t>
        </is>
      </c>
    </row>
    <row r="186" ht="15.75" customHeight="1" s="21">
      <c r="A186" s="26" t="inlineStr">
        <is>
          <t>Olympia</t>
        </is>
      </c>
      <c r="B186" s="26" t="inlineStr">
        <is>
          <t>Blues Heating and Air</t>
        </is>
      </c>
      <c r="C186" s="26" t="inlineStr">
        <is>
          <t>(360) 401-8735</t>
        </is>
      </c>
      <c r="D186" s="26" t="inlineStr">
        <is>
          <t>Yes</t>
        </is>
      </c>
      <c r="E186" s="26" t="n"/>
      <c r="F186" s="26" t="n"/>
      <c r="G186" s="26" t="n">
        <v>5</v>
      </c>
      <c r="H186" s="26" t="n">
        <v>386</v>
      </c>
      <c r="I186" s="42" t="inlineStr">
        <is>
          <t>Skip</t>
        </is>
      </c>
      <c r="J186" s="26" t="n"/>
      <c r="K186" s="26" t="inlineStr">
        <is>
          <t>Large established, not individually site-verified.</t>
        </is>
      </c>
      <c r="L186" s="26" t="inlineStr">
        <is>
          <t>Google Maps</t>
        </is>
      </c>
      <c r="M186" s="26" t="inlineStr">
        <is>
          <t>2026-07-02</t>
        </is>
      </c>
    </row>
    <row r="187" ht="15.75" customHeight="1" s="21">
      <c r="A187" s="26" t="inlineStr">
        <is>
          <t>Olympia</t>
        </is>
      </c>
      <c r="B187" s="26" t="inlineStr">
        <is>
          <t>G&amp;G Heating &amp; Air Conditioning</t>
        </is>
      </c>
      <c r="C187" s="26" t="inlineStr">
        <is>
          <t>(360) 524-2515</t>
        </is>
      </c>
      <c r="D187" s="26" t="inlineStr">
        <is>
          <t>Yes</t>
        </is>
      </c>
      <c r="E187" s="26" t="n"/>
      <c r="F187" s="26" t="n"/>
      <c r="G187" s="26" t="n">
        <v>4.9</v>
      </c>
      <c r="H187" s="26" t="n">
        <v>1694</v>
      </c>
      <c r="I187" s="42" t="inlineStr">
        <is>
          <t>Skip</t>
        </is>
      </c>
      <c r="J187" s="26" t="n"/>
      <c r="K187" s="26" t="inlineStr">
        <is>
          <t>Large established, running paid ads.</t>
        </is>
      </c>
      <c r="L187" s="26" t="inlineStr">
        <is>
          <t>Google Maps</t>
        </is>
      </c>
      <c r="M187" s="26" t="inlineStr">
        <is>
          <t>2026-07-02</t>
        </is>
      </c>
    </row>
    <row r="188" ht="28.5" customHeight="1" s="21">
      <c r="A188" s="26" t="inlineStr">
        <is>
          <t>Olympia</t>
        </is>
      </c>
      <c r="B188" s="26" t="inlineStr">
        <is>
          <t>Capital Heating, Cooling, Plumbing &amp; Electric</t>
        </is>
      </c>
      <c r="C188" s="26" t="inlineStr">
        <is>
          <t>(360) 491-7450</t>
        </is>
      </c>
      <c r="D188" s="26" t="inlineStr">
        <is>
          <t>Yes</t>
        </is>
      </c>
      <c r="E188" s="26" t="n"/>
      <c r="F188" s="26" t="n"/>
      <c r="G188" s="26" t="n">
        <v>4.9</v>
      </c>
      <c r="H188" s="26" t="n">
        <v>2333</v>
      </c>
      <c r="I188" s="42" t="inlineStr">
        <is>
          <t>Skip</t>
        </is>
      </c>
      <c r="J188" s="26" t="n"/>
      <c r="K188" s="26" t="inlineStr">
        <is>
          <t>Very large established chain, running paid ads.</t>
        </is>
      </c>
      <c r="L188" s="26" t="inlineStr">
        <is>
          <t>Google Maps</t>
        </is>
      </c>
      <c r="M188" s="26" t="inlineStr">
        <is>
          <t>2026-07-02</t>
        </is>
      </c>
    </row>
    <row r="189" ht="15.75" customHeight="1" s="21">
      <c r="A189" s="26" t="inlineStr">
        <is>
          <t>Tumwater</t>
        </is>
      </c>
      <c r="B189" s="26" t="inlineStr">
        <is>
          <t>Pacific Heating Cooling</t>
        </is>
      </c>
      <c r="C189" s="26" t="inlineStr">
        <is>
          <t>(360) 227-7955</t>
        </is>
      </c>
      <c r="D189" s="26" t="inlineStr">
        <is>
          <t>Yes</t>
        </is>
      </c>
      <c r="E189" s="26" t="n"/>
      <c r="F189" s="26" t="n"/>
      <c r="G189" s="26" t="n">
        <v>4.9</v>
      </c>
      <c r="H189" s="26" t="n">
        <v>352</v>
      </c>
      <c r="I189" s="42" t="inlineStr">
        <is>
          <t>Skip</t>
        </is>
      </c>
      <c r="J189" s="26" t="n"/>
      <c r="K189" s="26" t="inlineStr">
        <is>
          <t>Large established, running paid ads.</t>
        </is>
      </c>
      <c r="L189" s="26" t="inlineStr">
        <is>
          <t>Google Maps</t>
        </is>
      </c>
      <c r="M189" s="26" t="inlineStr">
        <is>
          <t>2026-07-02</t>
        </is>
      </c>
    </row>
    <row r="190" ht="15.75" customHeight="1" s="21">
      <c r="A190" s="26" t="inlineStr">
        <is>
          <t>Tumwater</t>
        </is>
      </c>
      <c r="B190" s="26" t="inlineStr">
        <is>
          <t>Compton's HVAC</t>
        </is>
      </c>
      <c r="C190" s="26" t="n"/>
      <c r="D190" s="26" t="inlineStr">
        <is>
          <t>Unknown</t>
        </is>
      </c>
      <c r="E190" s="26" t="n"/>
      <c r="F190" s="26" t="n"/>
      <c r="G190" s="26" t="n">
        <v>5</v>
      </c>
      <c r="H190" s="26" t="n">
        <v>2</v>
      </c>
      <c r="I190" s="42" t="inlineStr">
        <is>
          <t>Skip</t>
        </is>
      </c>
      <c r="J190" s="26" t="n"/>
      <c r="K190" s="26" t="inlineStr">
        <is>
          <t>Too new/too few reviews.</t>
        </is>
      </c>
      <c r="L190" s="26" t="inlineStr">
        <is>
          <t>Google Maps</t>
        </is>
      </c>
      <c r="M190" s="26" t="inlineStr">
        <is>
          <t>2026-07-02</t>
        </is>
      </c>
    </row>
    <row r="191" ht="28.5" customHeight="1" s="21">
      <c r="A191" s="26" t="inlineStr">
        <is>
          <t>Tumwater</t>
        </is>
      </c>
      <c r="B191" s="26" t="inlineStr">
        <is>
          <t>Custom Sheet Metal Heating - Air Conditioning</t>
        </is>
      </c>
      <c r="C191" s="26" t="n"/>
      <c r="D191" s="26" t="inlineStr">
        <is>
          <t>Unknown</t>
        </is>
      </c>
      <c r="E191" s="26" t="n"/>
      <c r="F191" s="26" t="n"/>
      <c r="G191" s="26" t="n">
        <v>5</v>
      </c>
      <c r="H191" s="26" t="n">
        <v>1</v>
      </c>
      <c r="I191" s="42" t="inlineStr">
        <is>
          <t>Skip</t>
        </is>
      </c>
      <c r="J191" s="26" t="n"/>
      <c r="K191" s="26" t="inlineStr">
        <is>
          <t>Too new/too few reviews.</t>
        </is>
      </c>
      <c r="L191" s="26" t="inlineStr">
        <is>
          <t>Google Maps</t>
        </is>
      </c>
      <c r="M191" s="26" t="inlineStr">
        <is>
          <t>2026-07-02</t>
        </is>
      </c>
    </row>
    <row r="192" ht="28.5" customHeight="1" s="21">
      <c r="A192" s="26" t="inlineStr">
        <is>
          <t>Enumclaw</t>
        </is>
      </c>
      <c r="B192" s="26" t="inlineStr">
        <is>
          <t>Mainstream Air Heating &amp; Air Conditioning</t>
        </is>
      </c>
      <c r="C192" s="26" t="inlineStr">
        <is>
          <t>(253) 332-1019</t>
        </is>
      </c>
      <c r="D192" s="26" t="inlineStr">
        <is>
          <t>No</t>
        </is>
      </c>
      <c r="E192" s="26" t="n"/>
      <c r="F192" s="26" t="n"/>
      <c r="G192" s="26" t="n">
        <v>5</v>
      </c>
      <c r="H192" s="26" t="n">
        <v>3</v>
      </c>
      <c r="I192" s="42" t="inlineStr">
        <is>
          <t>Skip</t>
        </is>
      </c>
      <c r="J192" s="26" t="n"/>
      <c r="K192" s="26" t="inlineStr">
        <is>
          <t>Too new / too few reviews to assess.</t>
        </is>
      </c>
      <c r="L192" s="26" t="inlineStr">
        <is>
          <t>Google Maps</t>
        </is>
      </c>
      <c r="M192" s="26" t="inlineStr">
        <is>
          <t>2026-07-02</t>
        </is>
      </c>
    </row>
    <row r="193" ht="28.5" customHeight="1" s="21">
      <c r="A193" s="26" t="inlineStr">
        <is>
          <t>Enumclaw</t>
        </is>
      </c>
      <c r="B193" s="26" t="inlineStr">
        <is>
          <t>Premier Heating &amp; Air</t>
        </is>
      </c>
      <c r="C193" s="26" t="inlineStr">
        <is>
          <t>(206) 939-0406</t>
        </is>
      </c>
      <c r="D193" s="26" t="inlineStr">
        <is>
          <t>Yes</t>
        </is>
      </c>
      <c r="E193" s="26" t="n"/>
      <c r="F193" s="26" t="n"/>
      <c r="G193" s="26" t="n">
        <v>5</v>
      </c>
      <c r="H193" s="26" t="n">
        <v>2</v>
      </c>
      <c r="I193" s="42" t="inlineStr">
        <is>
          <t>Skip</t>
        </is>
      </c>
      <c r="J193" s="26" t="n"/>
      <c r="K193" s="26" t="inlineStr">
        <is>
          <t>Too new; no street address on listing - may not be Enumclaw-based.</t>
        </is>
      </c>
      <c r="L193" s="26" t="inlineStr">
        <is>
          <t>Google Maps</t>
        </is>
      </c>
      <c r="M193" s="26" t="inlineStr">
        <is>
          <t>2026-07-02</t>
        </is>
      </c>
    </row>
    <row r="194" ht="15.75" customHeight="1" s="21">
      <c r="A194" s="26" t="inlineStr">
        <is>
          <t>Enumclaw</t>
        </is>
      </c>
      <c r="B194" s="26" t="inlineStr">
        <is>
          <t>Froemke Mechanical Htg &amp; Air</t>
        </is>
      </c>
      <c r="C194" s="26" t="inlineStr">
        <is>
          <t>(253) 508-3102</t>
        </is>
      </c>
      <c r="D194" s="26" t="inlineStr">
        <is>
          <t>Yes</t>
        </is>
      </c>
      <c r="E194" s="26" t="n"/>
      <c r="F194" s="26" t="n"/>
      <c r="G194" s="26" t="n">
        <v>5</v>
      </c>
      <c r="H194" s="26" t="n">
        <v>1</v>
      </c>
      <c r="I194" s="42" t="inlineStr">
        <is>
          <t>Skip</t>
        </is>
      </c>
      <c r="J194" s="26" t="n"/>
      <c r="K194" s="26" t="inlineStr">
        <is>
          <t>Too new to assess (1 review).</t>
        </is>
      </c>
      <c r="L194" s="26" t="inlineStr">
        <is>
          <t>Google Maps</t>
        </is>
      </c>
      <c r="M194" s="26" t="inlineStr">
        <is>
          <t>2026-07-02</t>
        </is>
      </c>
    </row>
    <row r="195" ht="28.5" customHeight="1" s="21">
      <c r="A195" s="26" t="inlineStr">
        <is>
          <t>Enumclaw</t>
        </is>
      </c>
      <c r="B195" s="26" t="inlineStr">
        <is>
          <t>Mountainside Hydronic Heating</t>
        </is>
      </c>
      <c r="C195" s="26" t="inlineStr">
        <is>
          <t>(206) 659-6622</t>
        </is>
      </c>
      <c r="D195" s="26" t="inlineStr">
        <is>
          <t>Yes</t>
        </is>
      </c>
      <c r="E195" s="26" t="n"/>
      <c r="F195" s="26" t="n"/>
      <c r="G195" s="26" t="n">
        <v>5</v>
      </c>
      <c r="H195" s="26" t="n">
        <v>2</v>
      </c>
      <c r="I195" s="42" t="inlineStr">
        <is>
          <t>Skip</t>
        </is>
      </c>
      <c r="J195" s="26" t="n"/>
      <c r="K195" s="26" t="inlineStr">
        <is>
          <t>Same address as Treat's (844 Mountain Villa Dr) - sister brand of an already-skipped business; 2 reviews.</t>
        </is>
      </c>
      <c r="L195" s="26" t="inlineStr">
        <is>
          <t>Google Maps</t>
        </is>
      </c>
      <c r="M195" s="26" t="inlineStr">
        <is>
          <t>2026-07-02</t>
        </is>
      </c>
    </row>
    <row r="196" ht="15.75" customHeight="1" s="21">
      <c r="A196" s="26" t="inlineStr">
        <is>
          <t>Enumclaw</t>
        </is>
      </c>
      <c r="B196" s="26" t="inlineStr">
        <is>
          <t>D.M. Kelly Mechanical Inc</t>
        </is>
      </c>
      <c r="C196" s="26" t="inlineStr">
        <is>
          <t>(360) 802-3759</t>
        </is>
      </c>
      <c r="D196" s="26" t="inlineStr">
        <is>
          <t>Yes</t>
        </is>
      </c>
      <c r="E196" s="26" t="n"/>
      <c r="F196" s="26" t="n"/>
      <c r="G196" s="26" t="n">
        <v>5</v>
      </c>
      <c r="H196" s="26" t="n">
        <v>130</v>
      </c>
      <c r="I196" s="42" t="inlineStr">
        <is>
          <t>Skip</t>
        </is>
      </c>
      <c r="J196" s="26" t="n"/>
      <c r="K196" s="26" t="inlineStr">
        <is>
          <t>Plumber-primary category mismatch.</t>
        </is>
      </c>
      <c r="L196" s="26" t="inlineStr">
        <is>
          <t>Google Maps</t>
        </is>
      </c>
      <c r="M196" s="26" t="inlineStr">
        <is>
          <t>2026-07-02</t>
        </is>
      </c>
    </row>
    <row r="197" ht="28.5" customHeight="1" s="21">
      <c r="A197" s="26" t="inlineStr">
        <is>
          <t>Enumclaw</t>
        </is>
      </c>
      <c r="B197" s="26" t="inlineStr">
        <is>
          <t>Omni Mechanical Inc</t>
        </is>
      </c>
      <c r="C197" s="26" t="n"/>
      <c r="D197" s="26" t="n"/>
      <c r="E197" s="26" t="n"/>
      <c r="F197" s="26" t="n"/>
      <c r="G197" s="26" t="n">
        <v>5</v>
      </c>
      <c r="H197" s="26" t="n">
        <v>5</v>
      </c>
      <c r="I197" s="42" t="inlineStr">
        <is>
          <t>Skip</t>
        </is>
      </c>
      <c r="J197" s="26" t="n"/>
      <c r="K197" s="26" t="inlineStr">
        <is>
          <t>Mechanical contractor, too few reviews.</t>
        </is>
      </c>
      <c r="L197" s="26" t="inlineStr">
        <is>
          <t>PASF via Lloyd's place page</t>
        </is>
      </c>
      <c r="M197" s="26" t="inlineStr">
        <is>
          <t>2026-07-02</t>
        </is>
      </c>
    </row>
    <row r="198" ht="28.5" customHeight="1" s="21">
      <c r="A198" s="26" t="inlineStr">
        <is>
          <t>Enumclaw</t>
        </is>
      </c>
      <c r="B198" s="26" t="inlineStr">
        <is>
          <t>Lewis Heating &amp; Air Conditioning</t>
        </is>
      </c>
      <c r="C198" s="26" t="n"/>
      <c r="D198" s="26" t="n"/>
      <c r="E198" s="26" t="n"/>
      <c r="F198" s="26" t="n"/>
      <c r="G198" s="26" t="n">
        <v>3.7</v>
      </c>
      <c r="H198" s="26" t="n">
        <v>9</v>
      </c>
      <c r="I198" s="42" t="inlineStr">
        <is>
          <t>Skip</t>
        </is>
      </c>
      <c r="J198" s="26" t="n"/>
      <c r="K198" s="26" t="inlineStr">
        <is>
          <t>Fails 4.0+ star bar.</t>
        </is>
      </c>
      <c r="L198" s="26" t="inlineStr">
        <is>
          <t>PASF via Lloyd's place page</t>
        </is>
      </c>
      <c r="M198" s="26" t="inlineStr">
        <is>
          <t>2026-07-02</t>
        </is>
      </c>
    </row>
    <row r="199" ht="15.75" customHeight="1" s="21">
      <c r="A199" s="26" t="inlineStr">
        <is>
          <t>Enumclaw</t>
        </is>
      </c>
      <c r="B199" s="26" t="inlineStr">
        <is>
          <t>Plateau Electric</t>
        </is>
      </c>
      <c r="C199" s="26" t="inlineStr">
        <is>
          <t>(360) 825-1090</t>
        </is>
      </c>
      <c r="D199" s="26" t="inlineStr">
        <is>
          <t>Yes</t>
        </is>
      </c>
      <c r="E199" s="26" t="n"/>
      <c r="F199" s="26" t="n"/>
      <c r="G199" s="26" t="n">
        <v>4.3</v>
      </c>
      <c r="H199" s="26" t="n">
        <v>12</v>
      </c>
      <c r="I199" s="42" t="inlineStr">
        <is>
          <t>Skip</t>
        </is>
      </c>
      <c r="J199" s="26" t="n"/>
      <c r="K199" s="26" t="inlineStr">
        <is>
          <t>Electrician category mismatch.</t>
        </is>
      </c>
      <c r="L199" s="26" t="inlineStr">
        <is>
          <t>Google Maps</t>
        </is>
      </c>
      <c r="M199" s="26" t="inlineStr">
        <is>
          <t>2026-07-02</t>
        </is>
      </c>
    </row>
    <row r="200" ht="57.75" customHeight="1" s="21">
      <c r="A200" s="26" t="inlineStr">
        <is>
          <t>Elma</t>
        </is>
      </c>
      <c r="B200" s="26" t="inlineStr">
        <is>
          <t>Harbor Ventilation Inc</t>
        </is>
      </c>
      <c r="C200" s="26" t="inlineStr">
        <is>
          <t>(360) 482-8477</t>
        </is>
      </c>
      <c r="D200" s="26" t="inlineStr">
        <is>
          <t>No</t>
        </is>
      </c>
      <c r="E200" s="26" t="n"/>
      <c r="F200" s="26" t="n"/>
      <c r="G200" s="26" t="n"/>
      <c r="H200" s="26" t="n">
        <v>0</v>
      </c>
      <c r="I200" s="42" t="inlineStr">
        <is>
          <t>Skip</t>
        </is>
      </c>
      <c r="J200" s="26" t="n"/>
      <c r="K200" s="26" t="inlineStr">
        <is>
          <t>Zero Google reviews. L&amp;I cross-check: HARBOR VENTILATION LLC (Elma) license status INACTIVE - confirmed dormant/dead business. Good example of L&amp;I check filtering OUT a candidate.</t>
        </is>
      </c>
      <c r="L200" s="26" t="inlineStr">
        <is>
          <t>Google Maps + WA L&amp;I verify</t>
        </is>
      </c>
      <c r="M200" s="26" t="inlineStr">
        <is>
          <t>2026-07-02</t>
        </is>
      </c>
    </row>
    <row r="201" ht="15.75" customHeight="1" s="21">
      <c r="A201" s="26" t="inlineStr">
        <is>
          <t>Elma</t>
        </is>
      </c>
      <c r="B201" s="26" t="inlineStr">
        <is>
          <t>Ocean Air Contracting Inc</t>
        </is>
      </c>
      <c r="C201" s="26" t="inlineStr">
        <is>
          <t>(360) 861-8532</t>
        </is>
      </c>
      <c r="D201" s="26" t="inlineStr">
        <is>
          <t>No</t>
        </is>
      </c>
      <c r="E201" s="26" t="n"/>
      <c r="F201" s="26" t="n"/>
      <c r="G201" s="26" t="n">
        <v>3.7</v>
      </c>
      <c r="H201" s="26" t="n">
        <v>11</v>
      </c>
      <c r="I201" s="42" t="inlineStr">
        <is>
          <t>Skip</t>
        </is>
      </c>
      <c r="J201" s="26" t="n"/>
      <c r="K201" s="26" t="inlineStr">
        <is>
          <t>Fails 4.0+ star bar.</t>
        </is>
      </c>
      <c r="L201" s="26" t="inlineStr">
        <is>
          <t>Google Maps</t>
        </is>
      </c>
      <c r="M201" s="26" t="inlineStr">
        <is>
          <t>2026-07-02</t>
        </is>
      </c>
    </row>
    <row r="202" ht="72" customHeight="1" s="21">
      <c r="A202" s="26" t="inlineStr">
        <is>
          <t>McCleary</t>
        </is>
      </c>
      <c r="B202" s="26" t="inlineStr">
        <is>
          <t>Reliable HVAC McCleary</t>
        </is>
      </c>
      <c r="C202" s="26" t="inlineStr">
        <is>
          <t>(360) 569-7265</t>
        </is>
      </c>
      <c r="D202" s="26" t="inlineStr">
        <is>
          <t>No</t>
        </is>
      </c>
      <c r="E202" s="26" t="n"/>
      <c r="F202" s="26" t="n"/>
      <c r="G202" s="26" t="n">
        <v>5</v>
      </c>
      <c r="H202" s="26" t="n">
        <v>7</v>
      </c>
      <c r="I202" s="42" t="inlineStr">
        <is>
          <t>Skip</t>
        </is>
      </c>
      <c r="J202" s="26" t="n"/>
      <c r="K202" s="26" t="inlineStr">
        <is>
          <t>SUSPECTED FAKE/SPAM LISTING: all reviewers are 1-2 review accounts with stilted SEO-style copy, keyword-stuffed owner posts, open-24-hours, stacked identity attributes. Review count not trustworthy - do not pitch, do not treat as real Watch.</t>
        </is>
      </c>
      <c r="L202" s="26" t="inlineStr">
        <is>
          <t>Google Maps</t>
        </is>
      </c>
      <c r="M202" s="26" t="inlineStr">
        <is>
          <t>2026-07-02</t>
        </is>
      </c>
    </row>
    <row r="203" ht="43.5" customHeight="1" s="21">
      <c r="A203" s="26" t="inlineStr">
        <is>
          <t>Westport</t>
        </is>
      </c>
      <c r="B203" s="26" t="inlineStr">
        <is>
          <t>Maneman Electric Inc</t>
        </is>
      </c>
      <c r="C203" s="26" t="inlineStr">
        <is>
          <t>(360) 268-0183</t>
        </is>
      </c>
      <c r="D203" s="26" t="inlineStr">
        <is>
          <t>No</t>
        </is>
      </c>
      <c r="E203" s="26" t="n"/>
      <c r="F203" s="26" t="n"/>
      <c r="G203" s="26" t="n">
        <v>3.3</v>
      </c>
      <c r="H203" s="26" t="n">
        <v>9</v>
      </c>
      <c r="I203" s="42" t="inlineStr">
        <is>
          <t>Skip</t>
        </is>
      </c>
      <c r="J203" s="26" t="n"/>
      <c r="K203" s="26" t="inlineStr">
        <is>
          <t>Electrician + fails star bar. NOTE: Westport itself has zero local HVAC shops - confirmed satellite of Aberdeen/Hoquiam.</t>
        </is>
      </c>
      <c r="L203" s="26" t="inlineStr">
        <is>
          <t>Google Maps</t>
        </is>
      </c>
      <c r="M203" s="26" t="inlineStr">
        <is>
          <t>2026-07-02</t>
        </is>
      </c>
    </row>
    <row r="204" ht="43.5" customHeight="1" s="21">
      <c r="A204" s="26" t="inlineStr">
        <is>
          <t>South Bend</t>
        </is>
      </c>
      <c r="B204" s="26" t="inlineStr">
        <is>
          <t>Sunset Air - South Bend, WA</t>
        </is>
      </c>
      <c r="C204" s="26" t="inlineStr">
        <is>
          <t>(360) 456-4956</t>
        </is>
      </c>
      <c r="D204" s="26" t="inlineStr">
        <is>
          <t>Yes</t>
        </is>
      </c>
      <c r="E204" s="26" t="n"/>
      <c r="F204" s="26" t="n"/>
      <c r="G204" s="26" t="n">
        <v>5</v>
      </c>
      <c r="H204" s="26" t="n">
        <v>1</v>
      </c>
      <c r="I204" s="42" t="inlineStr">
        <is>
          <t>Skip</t>
        </is>
      </c>
      <c r="J204" s="26" t="n"/>
      <c r="K204" s="26" t="inlineStr">
        <is>
          <t>Branch office of Sunset Air (Lacey - already skipped). 1 review. South Bend confirmed: no independent market beyond A R Heating (already logged under Raymond).</t>
        </is>
      </c>
      <c r="L204" s="26" t="inlineStr">
        <is>
          <t>Google Maps</t>
        </is>
      </c>
      <c r="M204" s="26" t="inlineStr">
        <is>
          <t>2026-07-02</t>
        </is>
      </c>
    </row>
    <row r="205" ht="28.5" customHeight="1" s="21">
      <c r="A205" s="26" t="inlineStr">
        <is>
          <t>Ellensburg</t>
        </is>
      </c>
      <c r="B205" s="26" t="inlineStr">
        <is>
          <t>Integrity HVAC LLC</t>
        </is>
      </c>
      <c r="C205" s="26" t="inlineStr">
        <is>
          <t>(509) 899-7408</t>
        </is>
      </c>
      <c r="D205" s="26" t="inlineStr">
        <is>
          <t>Yes</t>
        </is>
      </c>
      <c r="E205" s="26" t="inlineStr">
        <is>
          <t>integrityhvacpros.com</t>
        </is>
      </c>
      <c r="F205" s="26" t="inlineStr">
        <is>
          <t>Professional</t>
        </is>
      </c>
      <c r="G205" s="26" t="n">
        <v>5</v>
      </c>
      <c r="H205" s="26" t="n">
        <v>43</v>
      </c>
      <c r="I205" s="42" t="inlineStr">
        <is>
          <t>Skip</t>
        </is>
      </c>
      <c r="J205" s="26" t="inlineStr">
        <is>
          <t>Jesse</t>
        </is>
      </c>
      <c r="K205" s="26" t="inlineStr">
        <is>
          <t>Modern professional site: video hero, Google badge, estimate CTA, client login.</t>
        </is>
      </c>
      <c r="L205" s="26" t="inlineStr">
        <is>
          <t>Google Maps</t>
        </is>
      </c>
      <c r="M205" s="26" t="inlineStr">
        <is>
          <t>2026-07-02</t>
        </is>
      </c>
    </row>
    <row r="206" ht="28.5" customHeight="1" s="21">
      <c r="A206" s="26" t="inlineStr">
        <is>
          <t>Ellensburg</t>
        </is>
      </c>
      <c r="B206" s="26" t="inlineStr">
        <is>
          <t>ThermAll Heating, Cooling &amp; Electric</t>
        </is>
      </c>
      <c r="C206" s="26" t="inlineStr">
        <is>
          <t>(509) 653-6726</t>
        </is>
      </c>
      <c r="D206" s="26" t="inlineStr">
        <is>
          <t>Yes</t>
        </is>
      </c>
      <c r="E206" s="26" t="n"/>
      <c r="F206" s="26" t="inlineStr">
        <is>
          <t>Professional</t>
        </is>
      </c>
      <c r="G206" s="26" t="n">
        <v>4.8</v>
      </c>
      <c r="H206" s="26" t="n">
        <v>226</v>
      </c>
      <c r="I206" s="42" t="inlineStr">
        <is>
          <t>Skip</t>
        </is>
      </c>
      <c r="J206" s="26" t="n"/>
      <c r="K206" s="26" t="inlineStr">
        <is>
          <t>Regional multi-branch chain (Yakima HQ, 713-review main listing). Too large.</t>
        </is>
      </c>
      <c r="L206" s="26" t="inlineStr">
        <is>
          <t>Google Maps</t>
        </is>
      </c>
      <c r="M206" s="26" t="inlineStr">
        <is>
          <t>2026-07-02</t>
        </is>
      </c>
    </row>
    <row r="207" ht="28.5" customHeight="1" s="21">
      <c r="A207" s="26" t="inlineStr">
        <is>
          <t>Ellensburg</t>
        </is>
      </c>
      <c r="B207" s="26" t="inlineStr">
        <is>
          <t>Secure Plumbing and Heating service llc</t>
        </is>
      </c>
      <c r="C207" s="26" t="inlineStr">
        <is>
          <t>(509) 306-9291</t>
        </is>
      </c>
      <c r="D207" s="26" t="inlineStr">
        <is>
          <t>Yes</t>
        </is>
      </c>
      <c r="E207" s="26" t="inlineStr">
        <is>
          <t>forthecurecallsecure.com</t>
        </is>
      </c>
      <c r="F207" s="26" t="n"/>
      <c r="G207" s="26" t="n">
        <v>4.7</v>
      </c>
      <c r="H207" s="26" t="n">
        <v>29</v>
      </c>
      <c r="I207" s="42" t="inlineStr">
        <is>
          <t>Skip</t>
        </is>
      </c>
      <c r="J207" s="26" t="n"/>
      <c r="K207" s="26" t="inlineStr">
        <is>
          <t>Plumber-primary (place page category Plumber, PASF all plumbers, reviews mostly plumbing).</t>
        </is>
      </c>
      <c r="L207" s="26" t="inlineStr">
        <is>
          <t>Google Maps</t>
        </is>
      </c>
      <c r="M207" s="26" t="inlineStr">
        <is>
          <t>2026-07-02</t>
        </is>
      </c>
    </row>
    <row r="208" ht="28.5" customHeight="1" s="21">
      <c r="A208" s="26" t="inlineStr">
        <is>
          <t>Ellensburg</t>
        </is>
      </c>
      <c r="B208" s="26" t="inlineStr">
        <is>
          <t>RT Services</t>
        </is>
      </c>
      <c r="C208" s="26" t="inlineStr">
        <is>
          <t>(509) 607-0259</t>
        </is>
      </c>
      <c r="D208" s="26" t="inlineStr">
        <is>
          <t>Yes</t>
        </is>
      </c>
      <c r="E208" s="26" t="inlineStr">
        <is>
          <t>rtservicesellensburg.com</t>
        </is>
      </c>
      <c r="F208" s="26" t="n"/>
      <c r="G208" s="26" t="n">
        <v>4.6</v>
      </c>
      <c r="H208" s="26" t="n">
        <v>29</v>
      </c>
      <c r="I208" s="42" t="inlineStr">
        <is>
          <t>Skip</t>
        </is>
      </c>
      <c r="J208" s="26" t="inlineStr">
        <is>
          <t>Ryan &amp; Travis</t>
        </is>
      </c>
      <c r="K208" s="26" t="inlineStr">
        <is>
          <t>Fireplace/stove store primary category (equipment retailer that also installs mini-splits).</t>
        </is>
      </c>
      <c r="L208" s="26" t="inlineStr">
        <is>
          <t>Google Maps</t>
        </is>
      </c>
      <c r="M208" s="26" t="inlineStr">
        <is>
          <t>2026-07-02</t>
        </is>
      </c>
    </row>
    <row r="209" ht="43.5" customHeight="1" s="21">
      <c r="A209" s="26" t="inlineStr">
        <is>
          <t>Ellensburg</t>
        </is>
      </c>
      <c r="B209" s="26" t="inlineStr">
        <is>
          <t>Bid Mechanical Inc</t>
        </is>
      </c>
      <c r="C209" s="26" t="inlineStr">
        <is>
          <t>(509) 968-3267</t>
        </is>
      </c>
      <c r="D209" s="26" t="inlineStr">
        <is>
          <t>No</t>
        </is>
      </c>
      <c r="E209" s="26" t="n"/>
      <c r="F209" s="26" t="n"/>
      <c r="G209" s="26" t="n">
        <v>3.8</v>
      </c>
      <c r="H209" s="26" t="n">
        <v>19</v>
      </c>
      <c r="I209" s="42" t="inlineStr">
        <is>
          <t>Skip</t>
        </is>
      </c>
      <c r="J209" s="26" t="n"/>
      <c r="K209" s="26" t="inlineStr">
        <is>
          <t>Fails 4.0 star bar. NOTE: no website button - would be a Hot candidate if the star bar is ever loosened to 3.8 (flagged for the star-band experiment).</t>
        </is>
      </c>
      <c r="L209" s="26" t="inlineStr">
        <is>
          <t>Google Maps</t>
        </is>
      </c>
      <c r="M209" s="26" t="inlineStr">
        <is>
          <t>2026-07-02</t>
        </is>
      </c>
    </row>
    <row r="210" ht="15.75" customHeight="1" s="21">
      <c r="A210" s="26" t="inlineStr">
        <is>
          <t>Ellensburg</t>
        </is>
      </c>
      <c r="B210" s="26" t="inlineStr">
        <is>
          <t>Smith's Heating &amp; Cooling</t>
        </is>
      </c>
      <c r="C210" s="26" t="inlineStr">
        <is>
          <t>(509) 899-2767</t>
        </is>
      </c>
      <c r="D210" s="26" t="inlineStr">
        <is>
          <t>Yes</t>
        </is>
      </c>
      <c r="E210" s="26" t="n"/>
      <c r="F210" s="26" t="n"/>
      <c r="G210" s="26" t="n">
        <v>3.6</v>
      </c>
      <c r="H210" s="26" t="n">
        <v>13</v>
      </c>
      <c r="I210" s="42" t="inlineStr">
        <is>
          <t>Skip</t>
        </is>
      </c>
      <c r="J210" s="26" t="n"/>
      <c r="K210" s="26" t="inlineStr">
        <is>
          <t>Fails 4.0 star bar.</t>
        </is>
      </c>
      <c r="L210" s="26" t="inlineStr">
        <is>
          <t>Google Maps</t>
        </is>
      </c>
      <c r="M210" s="26" t="inlineStr">
        <is>
          <t>2026-07-02</t>
        </is>
      </c>
    </row>
    <row r="211" ht="43.5" customHeight="1" s="21">
      <c r="A211" s="26" t="inlineStr">
        <is>
          <t>Ellensburg</t>
        </is>
      </c>
      <c r="B211" s="26" t="inlineStr">
        <is>
          <t>SEI Dryer vent &amp; Air Duct Cleaning Services</t>
        </is>
      </c>
      <c r="C211" s="26" t="inlineStr">
        <is>
          <t>(509) 210-1411</t>
        </is>
      </c>
      <c r="D211" s="26" t="inlineStr">
        <is>
          <t>No</t>
        </is>
      </c>
      <c r="E211" s="26" t="n"/>
      <c r="F211" s="26" t="n"/>
      <c r="G211" s="26" t="n">
        <v>4.3</v>
      </c>
      <c r="H211" s="26" t="n">
        <v>8</v>
      </c>
      <c r="I211" s="42" t="inlineStr">
        <is>
          <t>Skip</t>
        </is>
      </c>
      <c r="J211" s="26" t="n"/>
      <c r="K211" s="26" t="inlineStr">
        <is>
          <t>Suspected spam-network listing: SEI/CCE/VEC/LEI identical naming pattern across one town (Step 20 pattern). Duct cleaning, not HVAC anyway.</t>
        </is>
      </c>
      <c r="L211" s="26" t="inlineStr">
        <is>
          <t>Google Maps</t>
        </is>
      </c>
      <c r="M211" s="26" t="inlineStr">
        <is>
          <t>2026-07-02</t>
        </is>
      </c>
    </row>
    <row r="212" ht="28.5" customHeight="1" s="21">
      <c r="A212" s="26" t="inlineStr">
        <is>
          <t>Ellensburg</t>
        </is>
      </c>
      <c r="B212" s="26" t="inlineStr">
        <is>
          <t>CCE Dryer vent &amp; Air Duct Cleaning Services</t>
        </is>
      </c>
      <c r="C212" s="26" t="inlineStr">
        <is>
          <t>(206) 761-3946</t>
        </is>
      </c>
      <c r="D212" s="26" t="inlineStr">
        <is>
          <t>No</t>
        </is>
      </c>
      <c r="E212" s="26" t="n"/>
      <c r="F212" s="26" t="n"/>
      <c r="G212" s="26" t="n">
        <v>4.2</v>
      </c>
      <c r="H212" s="26" t="n">
        <v>10</v>
      </c>
      <c r="I212" s="42" t="inlineStr">
        <is>
          <t>Skip</t>
        </is>
      </c>
      <c r="J212" s="26" t="n"/>
      <c r="K212" s="26" t="inlineStr">
        <is>
          <t>Same suspected spam network as SEI/VEC/LEI.</t>
        </is>
      </c>
      <c r="L212" s="26" t="inlineStr">
        <is>
          <t>Google Maps</t>
        </is>
      </c>
      <c r="M212" s="26" t="inlineStr">
        <is>
          <t>2026-07-02</t>
        </is>
      </c>
    </row>
    <row r="213" ht="28.5" customHeight="1" s="21">
      <c r="A213" s="26" t="inlineStr">
        <is>
          <t>Ellensburg</t>
        </is>
      </c>
      <c r="B213" s="26" t="inlineStr">
        <is>
          <t>VEC Dryer vent &amp; Air Duct Cleaning Services</t>
        </is>
      </c>
      <c r="C213" s="26" t="inlineStr">
        <is>
          <t>(509) 210-1419</t>
        </is>
      </c>
      <c r="D213" s="26" t="inlineStr">
        <is>
          <t>No</t>
        </is>
      </c>
      <c r="E213" s="26" t="n"/>
      <c r="F213" s="26" t="n"/>
      <c r="G213" s="26" t="n">
        <v>4.5</v>
      </c>
      <c r="H213" s="26" t="n">
        <v>10</v>
      </c>
      <c r="I213" s="42" t="inlineStr">
        <is>
          <t>Skip</t>
        </is>
      </c>
      <c r="J213" s="26" t="n"/>
      <c r="K213" s="26" t="inlineStr">
        <is>
          <t>Same suspected spam network.</t>
        </is>
      </c>
      <c r="L213" s="26" t="inlineStr">
        <is>
          <t>Google Maps</t>
        </is>
      </c>
      <c r="M213" s="26" t="inlineStr">
        <is>
          <t>2026-07-02</t>
        </is>
      </c>
    </row>
    <row r="214" ht="15.75" customHeight="1" s="21">
      <c r="A214" s="26" t="inlineStr">
        <is>
          <t>Ellensburg</t>
        </is>
      </c>
      <c r="B214" s="26" t="inlineStr">
        <is>
          <t>Central Plumbing and Mechanical</t>
        </is>
      </c>
      <c r="C214" s="26" t="n"/>
      <c r="D214" s="26" t="n"/>
      <c r="E214" s="26" t="n"/>
      <c r="F214" s="26" t="n"/>
      <c r="G214" s="26" t="n">
        <v>5</v>
      </c>
      <c r="H214" s="26" t="n">
        <v>24</v>
      </c>
      <c r="I214" s="42" t="inlineStr">
        <is>
          <t>Skip</t>
        </is>
      </c>
      <c r="J214" s="26" t="n"/>
      <c r="K214" s="26" t="inlineStr">
        <is>
          <t>Plumber (PASF).</t>
        </is>
      </c>
      <c r="L214" s="26" t="inlineStr">
        <is>
          <t>PASF</t>
        </is>
      </c>
      <c r="M214" s="26" t="inlineStr">
        <is>
          <t>2026-07-02</t>
        </is>
      </c>
    </row>
    <row r="215" ht="57.75" customHeight="1" s="21">
      <c r="A215" s="26" t="inlineStr">
        <is>
          <t>Cle Elum</t>
        </is>
      </c>
      <c r="B215" s="26" t="inlineStr">
        <is>
          <t>TempControl Heating &amp; Cooling</t>
        </is>
      </c>
      <c r="C215" s="26" t="inlineStr">
        <is>
          <t>(509) 300-5202</t>
        </is>
      </c>
      <c r="D215" s="26" t="inlineStr">
        <is>
          <t>Yes</t>
        </is>
      </c>
      <c r="E215" s="26" t="inlineStr">
        <is>
          <t>www.tempcontrolwa.com</t>
        </is>
      </c>
      <c r="F215" s="26" t="inlineStr">
        <is>
          <t>Professional</t>
        </is>
      </c>
      <c r="G215" s="26" t="n">
        <v>4.7</v>
      </c>
      <c r="H215" s="26" t="n">
        <v>59</v>
      </c>
      <c r="I215" s="42" t="inlineStr">
        <is>
          <t>Skip</t>
        </is>
      </c>
      <c r="J215" s="26" t="n"/>
      <c r="K215" s="26" t="inlineStr">
        <is>
          <t>Modern professional site (online scheduling, financing, chat). QUIRK: bare domain tempcontrolwa.com has no DNS record - only www. works. Not enough alone for Warm. Lesson: always try www. before declaring a domain dead.</t>
        </is>
      </c>
      <c r="L215" s="26" t="inlineStr">
        <is>
          <t>Google Maps</t>
        </is>
      </c>
      <c r="M215" s="26" t="inlineStr">
        <is>
          <t>2026-07-02</t>
        </is>
      </c>
    </row>
    <row r="216" ht="15.75" customHeight="1" s="21">
      <c r="A216" s="26" t="inlineStr">
        <is>
          <t>Cle Elum</t>
        </is>
      </c>
      <c r="B216" s="26" t="inlineStr">
        <is>
          <t>Burts Heating and A/C LLC</t>
        </is>
      </c>
      <c r="C216" s="26" t="inlineStr">
        <is>
          <t>(509) 674-2878</t>
        </is>
      </c>
      <c r="D216" s="26" t="inlineStr">
        <is>
          <t>No</t>
        </is>
      </c>
      <c r="E216" s="26" t="n"/>
      <c r="F216" s="26" t="n"/>
      <c r="G216" s="26" t="n">
        <v>5</v>
      </c>
      <c r="H216" s="26" t="n">
        <v>3</v>
      </c>
      <c r="I216" s="42" t="inlineStr">
        <is>
          <t>Skip</t>
        </is>
      </c>
      <c r="J216" s="26" t="n"/>
      <c r="K216" s="26" t="inlineStr">
        <is>
          <t>Too new / too few reviews.</t>
        </is>
      </c>
      <c r="L216" s="26" t="inlineStr">
        <is>
          <t>Google Maps</t>
        </is>
      </c>
      <c r="M216" s="26" t="inlineStr">
        <is>
          <t>2026-07-02</t>
        </is>
      </c>
    </row>
    <row r="217" ht="15.75" customHeight="1" s="21">
      <c r="A217" s="26" t="inlineStr">
        <is>
          <t>Cle Elum</t>
        </is>
      </c>
      <c r="B217" s="26" t="inlineStr">
        <is>
          <t>Belbrook Plumbing</t>
        </is>
      </c>
      <c r="C217" s="26" t="inlineStr">
        <is>
          <t>(509) 381-4869</t>
        </is>
      </c>
      <c r="D217" s="26" t="inlineStr">
        <is>
          <t>Yes</t>
        </is>
      </c>
      <c r="E217" s="26" t="n"/>
      <c r="F217" s="26" t="n"/>
      <c r="G217" s="26" t="n">
        <v>4.8</v>
      </c>
      <c r="H217" s="26" t="n">
        <v>160</v>
      </c>
      <c r="I217" s="42" t="inlineStr">
        <is>
          <t>Skip</t>
        </is>
      </c>
      <c r="J217" s="26" t="n"/>
      <c r="K217" s="26" t="inlineStr">
        <is>
          <t>Plumber.</t>
        </is>
      </c>
      <c r="L217" s="26" t="inlineStr">
        <is>
          <t>Google Maps</t>
        </is>
      </c>
      <c r="M217" s="26" t="inlineStr">
        <is>
          <t>2026-07-02</t>
        </is>
      </c>
    </row>
    <row r="218" ht="15.75" customHeight="1" s="21">
      <c r="A218" s="26" t="inlineStr">
        <is>
          <t>Cle Elum</t>
        </is>
      </c>
      <c r="B218" s="26" t="inlineStr">
        <is>
          <t>Peakside Plumbing</t>
        </is>
      </c>
      <c r="C218" s="26" t="inlineStr">
        <is>
          <t>(509) 304-7121</t>
        </is>
      </c>
      <c r="D218" s="26" t="inlineStr">
        <is>
          <t>Yes</t>
        </is>
      </c>
      <c r="E218" s="26" t="n"/>
      <c r="F218" s="26" t="n"/>
      <c r="G218" s="26" t="n">
        <v>5</v>
      </c>
      <c r="H218" s="26" t="n">
        <v>35</v>
      </c>
      <c r="I218" s="42" t="inlineStr">
        <is>
          <t>Skip</t>
        </is>
      </c>
      <c r="J218" s="26" t="n"/>
      <c r="K218" s="26" t="inlineStr">
        <is>
          <t>Plumber.</t>
        </is>
      </c>
      <c r="L218" s="26" t="inlineStr">
        <is>
          <t>Google Maps</t>
        </is>
      </c>
      <c r="M218" s="26" t="inlineStr">
        <is>
          <t>2026-07-02</t>
        </is>
      </c>
    </row>
    <row r="219" ht="15.75" customHeight="1" s="21">
      <c r="A219" s="26" t="inlineStr">
        <is>
          <t>Cle Elum</t>
        </is>
      </c>
      <c r="B219" s="26" t="inlineStr">
        <is>
          <t>509 Backflow</t>
        </is>
      </c>
      <c r="C219" s="26" t="inlineStr">
        <is>
          <t>(509) 656-5026</t>
        </is>
      </c>
      <c r="D219" s="26" t="inlineStr">
        <is>
          <t>Yes</t>
        </is>
      </c>
      <c r="E219" s="26" t="n"/>
      <c r="F219" s="26" t="n"/>
      <c r="G219" s="26" t="n">
        <v>5</v>
      </c>
      <c r="H219" s="26" t="n">
        <v>4</v>
      </c>
      <c r="I219" s="42" t="inlineStr">
        <is>
          <t>Skip</t>
        </is>
      </c>
      <c r="J219" s="26" t="n"/>
      <c r="K219" s="26" t="inlineStr">
        <is>
          <t>Plumber, too few reviews.</t>
        </is>
      </c>
      <c r="L219" s="26" t="inlineStr">
        <is>
          <t>Google Maps</t>
        </is>
      </c>
      <c r="M219" s="26" t="inlineStr">
        <is>
          <t>2026-07-02</t>
        </is>
      </c>
    </row>
    <row r="220" ht="15.75" customHeight="1" s="21">
      <c r="A220" s="26" t="inlineStr">
        <is>
          <t>Cle Elum</t>
        </is>
      </c>
      <c r="B220" s="26" t="inlineStr">
        <is>
          <t>509 Climate Control</t>
        </is>
      </c>
      <c r="C220" s="26" t="inlineStr">
        <is>
          <t>(509) 260-1930</t>
        </is>
      </c>
      <c r="D220" s="26" t="inlineStr">
        <is>
          <t>Yes</t>
        </is>
      </c>
      <c r="E220" s="26" t="n"/>
      <c r="F220" s="26" t="n"/>
      <c r="G220" s="26" t="n"/>
      <c r="H220" s="26" t="n">
        <v>0</v>
      </c>
      <c r="I220" s="42" t="inlineStr">
        <is>
          <t>Skip</t>
        </is>
      </c>
      <c r="J220" s="26" t="n"/>
      <c r="K220" s="26" t="inlineStr">
        <is>
          <t>Zero reviews - cannot assess. Recheck in future round.</t>
        </is>
      </c>
      <c r="L220" s="26" t="inlineStr">
        <is>
          <t>Google Maps</t>
        </is>
      </c>
      <c r="M220" s="26" t="inlineStr">
        <is>
          <t>2026-07-02</t>
        </is>
      </c>
    </row>
    <row r="221" ht="28.5" customHeight="1" s="21">
      <c r="A221" s="26" t="inlineStr">
        <is>
          <t>Wenatchee</t>
        </is>
      </c>
      <c r="B221" s="26" t="inlineStr">
        <is>
          <t>Central Washington Heating and Air</t>
        </is>
      </c>
      <c r="C221" s="26" t="inlineStr">
        <is>
          <t>(509) 663-3557</t>
        </is>
      </c>
      <c r="D221" s="26" t="inlineStr">
        <is>
          <t>Yes</t>
        </is>
      </c>
      <c r="E221" s="26" t="inlineStr">
        <is>
          <t>centralwashingtonheating.com</t>
        </is>
      </c>
      <c r="F221" s="26" t="inlineStr">
        <is>
          <t>Professional</t>
        </is>
      </c>
      <c r="G221" s="26" t="n">
        <v>4.9</v>
      </c>
      <c r="H221" s="26" t="n">
        <v>568</v>
      </c>
      <c r="I221" s="42" t="inlineStr">
        <is>
          <t>Skip</t>
        </is>
      </c>
      <c r="J221" s="26" t="n"/>
      <c r="K221" s="26" t="inlineStr">
        <is>
          <t>Dominant regional player, 24hr, pro site.</t>
        </is>
      </c>
      <c r="L221" s="26" t="inlineStr">
        <is>
          <t>Google Maps</t>
        </is>
      </c>
      <c r="M221" s="26" t="inlineStr">
        <is>
          <t>2026-07-02</t>
        </is>
      </c>
    </row>
    <row r="222" ht="15.75" customHeight="1" s="21">
      <c r="A222" s="26" t="inlineStr">
        <is>
          <t>Wenatchee</t>
        </is>
      </c>
      <c r="B222" s="26" t="inlineStr">
        <is>
          <t>Alpine Aire Heating &amp; Cooling</t>
        </is>
      </c>
      <c r="C222" s="26" t="inlineStr">
        <is>
          <t>(509) 436-9027</t>
        </is>
      </c>
      <c r="D222" s="26" t="inlineStr">
        <is>
          <t>Yes</t>
        </is>
      </c>
      <c r="E222" s="26" t="inlineStr">
        <is>
          <t>alpineaire.net</t>
        </is>
      </c>
      <c r="F222" s="26" t="inlineStr">
        <is>
          <t>Professional</t>
        </is>
      </c>
      <c r="G222" s="26" t="n">
        <v>4.8</v>
      </c>
      <c r="H222" s="26" t="n">
        <v>542</v>
      </c>
      <c r="I222" s="42" t="inlineStr">
        <is>
          <t>Skip</t>
        </is>
      </c>
      <c r="J222" s="26" t="n"/>
      <c r="K222" s="26" t="inlineStr">
        <is>
          <t>Large operator, ServiceTitan online booking.</t>
        </is>
      </c>
      <c r="L222" s="26" t="inlineStr">
        <is>
          <t>Google Maps</t>
        </is>
      </c>
      <c r="M222" s="26" t="inlineStr">
        <is>
          <t>2026-07-02</t>
        </is>
      </c>
    </row>
    <row r="223" ht="28.5" customHeight="1" s="21">
      <c r="A223" s="26" t="inlineStr">
        <is>
          <t>Wenatchee</t>
        </is>
      </c>
      <c r="B223" s="26" t="inlineStr">
        <is>
          <t>Columbia Cooling and Refrigeration</t>
        </is>
      </c>
      <c r="C223" s="26" t="inlineStr">
        <is>
          <t>(509) 668-8108</t>
        </is>
      </c>
      <c r="D223" s="26" t="inlineStr">
        <is>
          <t>Yes</t>
        </is>
      </c>
      <c r="E223" s="26" t="inlineStr">
        <is>
          <t>chooseccr.com</t>
        </is>
      </c>
      <c r="F223" s="26" t="inlineStr">
        <is>
          <t>Professional</t>
        </is>
      </c>
      <c r="G223" s="26" t="n">
        <v>4.7</v>
      </c>
      <c r="H223" s="26" t="n">
        <v>126</v>
      </c>
      <c r="I223" s="42" t="inlineStr">
        <is>
          <t>Skip</t>
        </is>
      </c>
      <c r="J223" s="26" t="n"/>
      <c r="K223" s="26" t="inlineStr">
        <is>
          <t>Actively managed: Bosch GOLD Comfort PRO, owner responds to every review, video content.</t>
        </is>
      </c>
      <c r="L223" s="26" t="inlineStr">
        <is>
          <t>Google Maps</t>
        </is>
      </c>
      <c r="M223" s="26" t="inlineStr">
        <is>
          <t>2026-07-02</t>
        </is>
      </c>
    </row>
    <row r="224" ht="28.5" customHeight="1" s="21">
      <c r="A224" s="26" t="inlineStr">
        <is>
          <t>Wenatchee</t>
        </is>
      </c>
      <c r="B224" s="26" t="inlineStr">
        <is>
          <t>Wenatchee HVAC - 24/7 Heating &amp; Air Conditioning</t>
        </is>
      </c>
      <c r="C224" s="26" t="inlineStr">
        <is>
          <t>(509) 740-0247</t>
        </is>
      </c>
      <c r="D224" s="26" t="inlineStr">
        <is>
          <t>Yes</t>
        </is>
      </c>
      <c r="E224" s="26" t="n"/>
      <c r="F224" s="26" t="n"/>
      <c r="G224" s="26" t="n">
        <v>5</v>
      </c>
      <c r="H224" s="26" t="n">
        <v>1</v>
      </c>
      <c r="I224" s="42" t="inlineStr">
        <is>
          <t>Skip</t>
        </is>
      </c>
      <c r="J224" s="26" t="n"/>
      <c r="K224" s="26" t="inlineStr">
        <is>
          <t>1 review, too new. Generic-keyword name - possible spam pattern, recheck.</t>
        </is>
      </c>
      <c r="L224" s="26" t="inlineStr">
        <is>
          <t>Google Maps</t>
        </is>
      </c>
      <c r="M224" s="26" t="inlineStr">
        <is>
          <t>2026-07-02</t>
        </is>
      </c>
    </row>
    <row r="225" ht="28.5" customHeight="1" s="21">
      <c r="A225" s="26" t="inlineStr">
        <is>
          <t>East Wenatchee</t>
        </is>
      </c>
      <c r="B225" s="26" t="inlineStr">
        <is>
          <t>Climatek Heating &amp; Air Conditioning</t>
        </is>
      </c>
      <c r="C225" s="26" t="inlineStr">
        <is>
          <t>(509) 881-5556</t>
        </is>
      </c>
      <c r="D225" s="26" t="inlineStr">
        <is>
          <t>Yes</t>
        </is>
      </c>
      <c r="E225" s="26" t="inlineStr">
        <is>
          <t>climatekwenatchee.com</t>
        </is>
      </c>
      <c r="F225" s="26" t="inlineStr">
        <is>
          <t>Professional</t>
        </is>
      </c>
      <c r="G225" s="26" t="n">
        <v>4.9</v>
      </c>
      <c r="H225" s="26" t="n">
        <v>41</v>
      </c>
      <c r="I225" s="42" t="inlineStr">
        <is>
          <t>Skip</t>
        </is>
      </c>
      <c r="J225" s="26" t="inlineStr">
        <is>
          <t>Rikki &amp; Charles</t>
        </is>
      </c>
      <c r="K225" s="26" t="inlineStr">
        <is>
          <t>Clean modern site, local imagery, consultation CTA, engaged owner.</t>
        </is>
      </c>
      <c r="L225" s="26" t="inlineStr">
        <is>
          <t>Google Maps</t>
        </is>
      </c>
      <c r="M225" s="26" t="inlineStr">
        <is>
          <t>2026-07-02</t>
        </is>
      </c>
    </row>
    <row r="226" ht="28.5" customHeight="1" s="21">
      <c r="A226" s="26" t="inlineStr">
        <is>
          <t>East Wenatchee</t>
        </is>
      </c>
      <c r="B226" s="26" t="inlineStr">
        <is>
          <t>Central Air Solutions</t>
        </is>
      </c>
      <c r="C226" s="26" t="inlineStr">
        <is>
          <t>(509) 888-3389</t>
        </is>
      </c>
      <c r="D226" s="26" t="inlineStr">
        <is>
          <t>Yes</t>
        </is>
      </c>
      <c r="E226" s="26" t="inlineStr">
        <is>
          <t>centralairsolutions.com</t>
        </is>
      </c>
      <c r="F226" s="26" t="inlineStr">
        <is>
          <t>Professional</t>
        </is>
      </c>
      <c r="G226" s="26" t="n">
        <v>4.9</v>
      </c>
      <c r="H226" s="26" t="n">
        <v>75</v>
      </c>
      <c r="I226" s="42" t="inlineStr">
        <is>
          <t>Skip</t>
        </is>
      </c>
      <c r="J226" s="26" t="n"/>
      <c r="K226" s="26" t="inlineStr">
        <is>
          <t>Modern site, strong CTAs, active service-area-savvy GMB posts.</t>
        </is>
      </c>
      <c r="L226" s="26" t="inlineStr">
        <is>
          <t>Google Maps</t>
        </is>
      </c>
      <c r="M226" s="26" t="inlineStr">
        <is>
          <t>2026-07-02</t>
        </is>
      </c>
    </row>
    <row r="227" ht="43.5" customHeight="1" s="21">
      <c r="A227" s="26" t="inlineStr">
        <is>
          <t>East Wenatchee</t>
        </is>
      </c>
      <c r="B227" s="26" t="inlineStr">
        <is>
          <t>Xtreme Heating and Cooling</t>
        </is>
      </c>
      <c r="C227" s="26" t="inlineStr">
        <is>
          <t>(509) 679-8368</t>
        </is>
      </c>
      <c r="D227" s="26" t="inlineStr">
        <is>
          <t>Yes</t>
        </is>
      </c>
      <c r="E227" s="26" t="inlineStr">
        <is>
          <t>xtremeheatingcooling.com</t>
        </is>
      </c>
      <c r="F227" s="26" t="inlineStr">
        <is>
          <t>Assumed professional</t>
        </is>
      </c>
      <c r="G227" s="26" t="n">
        <v>5</v>
      </c>
      <c r="H227" s="26" t="n">
        <v>96</v>
      </c>
      <c r="I227" s="42" t="inlineStr">
        <is>
          <t>Skip</t>
        </is>
      </c>
      <c r="J227" s="26" t="n"/>
      <c r="K227" s="26" t="inlineStr">
        <is>
          <t>STEP 24 HEURISTIC (site not individually verified): 24hr ops, automated text reminders per reviews, active listing = digitally modern operator.</t>
        </is>
      </c>
      <c r="L227" s="26" t="inlineStr">
        <is>
          <t>Google Maps</t>
        </is>
      </c>
      <c r="M227" s="26" t="inlineStr">
        <is>
          <t>2026-07-02</t>
        </is>
      </c>
    </row>
    <row r="228" ht="28.5" customHeight="1" s="21">
      <c r="A228" s="26" t="inlineStr">
        <is>
          <t>Wenatchee</t>
        </is>
      </c>
      <c r="B228" s="26" t="inlineStr">
        <is>
          <t>Jacob's HVACR</t>
        </is>
      </c>
      <c r="C228" s="26" t="inlineStr">
        <is>
          <t>(509) 293-1441</t>
        </is>
      </c>
      <c r="D228" s="26" t="inlineStr">
        <is>
          <t>Yes</t>
        </is>
      </c>
      <c r="E228" s="26" t="n"/>
      <c r="F228" s="26" t="inlineStr">
        <is>
          <t>Assumed professional</t>
        </is>
      </c>
      <c r="G228" s="26" t="n">
        <v>4.8</v>
      </c>
      <c r="H228" s="26" t="n">
        <v>202</v>
      </c>
      <c r="I228" s="42" t="inlineStr">
        <is>
          <t>Skip</t>
        </is>
      </c>
      <c r="J228" s="26" t="inlineStr">
        <is>
          <t>Jacob</t>
        </is>
      </c>
      <c r="K228" s="26" t="inlineStr">
        <is>
          <t>STEP 24 HEURISTIC: Book online integration, 200+ reviews, active ops.</t>
        </is>
      </c>
      <c r="L228" s="26" t="inlineStr">
        <is>
          <t>Google Maps</t>
        </is>
      </c>
      <c r="M228" s="26" t="inlineStr">
        <is>
          <t>2026-07-02</t>
        </is>
      </c>
    </row>
    <row r="229" ht="15.75" customHeight="1" s="21">
      <c r="A229" s="26" t="inlineStr">
        <is>
          <t>Wenatchee</t>
        </is>
      </c>
      <c r="B229" s="26" t="inlineStr">
        <is>
          <t>Lakeside Heating &amp; Air Conditioning</t>
        </is>
      </c>
      <c r="C229" s="26" t="inlineStr">
        <is>
          <t>(509) 300-3830</t>
        </is>
      </c>
      <c r="D229" s="26" t="inlineStr">
        <is>
          <t>Yes</t>
        </is>
      </c>
      <c r="E229" s="26" t="n"/>
      <c r="F229" s="26" t="inlineStr">
        <is>
          <t>Assumed professional</t>
        </is>
      </c>
      <c r="G229" s="26" t="n">
        <v>5</v>
      </c>
      <c r="H229" s="26" t="n">
        <v>59</v>
      </c>
      <c r="I229" s="42" t="inlineStr">
        <is>
          <t>Skip</t>
        </is>
      </c>
      <c r="J229" s="26" t="n"/>
      <c r="K229" s="26" t="inlineStr">
        <is>
          <t>STEP 24 HEURISTIC: Book online integration, 24hr.</t>
        </is>
      </c>
      <c r="L229" s="26" t="inlineStr">
        <is>
          <t>Google Maps</t>
        </is>
      </c>
      <c r="M229" s="26" t="inlineStr">
        <is>
          <t>2026-07-02</t>
        </is>
      </c>
    </row>
    <row r="230" ht="43.5" customHeight="1" s="21">
      <c r="A230" s="26" t="inlineStr">
        <is>
          <t>Wenatchee</t>
        </is>
      </c>
      <c r="B230" s="26" t="inlineStr">
        <is>
          <t>Jay's Heating and Air Conditioning LLC</t>
        </is>
      </c>
      <c r="C230" s="26" t="inlineStr">
        <is>
          <t>(509) 679-6570</t>
        </is>
      </c>
      <c r="D230" s="26" t="inlineStr">
        <is>
          <t>Yes</t>
        </is>
      </c>
      <c r="E230" s="26" t="inlineStr">
        <is>
          <t>jaysheatingandairllc.com</t>
        </is>
      </c>
      <c r="F230" s="26" t="inlineStr">
        <is>
          <t>Assumed professional</t>
        </is>
      </c>
      <c r="G230" s="26" t="n">
        <v>5</v>
      </c>
      <c r="H230" s="26" t="n">
        <v>41</v>
      </c>
      <c r="I230" s="42" t="inlineStr">
        <is>
          <t>Skip</t>
        </is>
      </c>
      <c r="J230" s="26" t="inlineStr">
        <is>
          <t>Jay Stewart</t>
        </is>
      </c>
      <c r="K230" s="26" t="inlineStr">
        <is>
          <t>STEP 24 HEURISTIC: heavily self-managed GMB (long marketing posts, Book button, review responses). Not a neglect profile.</t>
        </is>
      </c>
      <c r="L230" s="26" t="inlineStr">
        <is>
          <t>Google Maps</t>
        </is>
      </c>
      <c r="M230" s="26" t="inlineStr">
        <is>
          <t>2026-07-02</t>
        </is>
      </c>
    </row>
    <row r="231" ht="15.75" customHeight="1" s="21">
      <c r="A231" s="26" t="inlineStr">
        <is>
          <t>Sunnyside</t>
        </is>
      </c>
      <c r="B231" s="26" t="inlineStr">
        <is>
          <t>T J's Refrigeration Heating &amp; Air</t>
        </is>
      </c>
      <c r="C231" s="26" t="inlineStr">
        <is>
          <t>(509) 839-8840</t>
        </is>
      </c>
      <c r="D231" s="26" t="inlineStr">
        <is>
          <t>Yes</t>
        </is>
      </c>
      <c r="E231" s="26" t="n"/>
      <c r="F231" s="26" t="n"/>
      <c r="G231" s="26" t="n">
        <v>3.2</v>
      </c>
      <c r="H231" s="26" t="n">
        <v>11</v>
      </c>
      <c r="I231" s="42" t="inlineStr">
        <is>
          <t>Skip</t>
        </is>
      </c>
      <c r="J231" s="26" t="n"/>
      <c r="K231" s="26" t="inlineStr">
        <is>
          <t>Fails 4.0 star bar.</t>
        </is>
      </c>
      <c r="L231" s="26" t="inlineStr">
        <is>
          <t>Google Maps</t>
        </is>
      </c>
      <c r="M231" s="26" t="inlineStr">
        <is>
          <t>2026-07-02</t>
        </is>
      </c>
    </row>
    <row r="232" ht="101.25" customHeight="1" s="21">
      <c r="A232" s="26" t="inlineStr">
        <is>
          <t>Sunnyside</t>
        </is>
      </c>
      <c r="B232" s="26" t="inlineStr">
        <is>
          <t>Empire Heating and Air LLC</t>
        </is>
      </c>
      <c r="C232" s="26" t="inlineStr">
        <is>
          <t>(509) 840-1830</t>
        </is>
      </c>
      <c r="D232" s="26" t="inlineStr">
        <is>
          <t>No</t>
        </is>
      </c>
      <c r="E232" s="26" t="n"/>
      <c r="F232" s="26" t="n"/>
      <c r="G232" s="26" t="n"/>
      <c r="H232" s="26" t="n">
        <v>0</v>
      </c>
      <c r="I232" s="42" t="inlineStr">
        <is>
          <t>Skip</t>
        </is>
      </c>
      <c r="J232" s="26" t="inlineStr">
        <is>
          <t>John Michael Perales</t>
        </is>
      </c>
      <c r="K232" s="26" t="inlineStr">
        <is>
          <t>L&amp;I-FIRST DISCOVERY FIND (invisible on all Maps queries) - but disqualified by its own L&amp;I record: 7 electrical citations 2022-2023 totaling $5,250 (unlicensed electrical work, unlicensed workers, permit failures - all satisfied). GENERAL license (not HVAC/R) since 2017, no workers' comp account. Compliance-risk profile, poor client fit. Lic EMPIRHA833KR.</t>
        </is>
      </c>
      <c r="L232" s="26" t="inlineStr">
        <is>
          <t>WA L&amp;I verify (keyword sweep)</t>
        </is>
      </c>
      <c r="M232" s="26" t="inlineStr">
        <is>
          <t>2026-07-02</t>
        </is>
      </c>
    </row>
    <row r="233" ht="15.75" customHeight="1" s="21">
      <c r="A233" s="26" t="inlineStr">
        <is>
          <t>Yakima</t>
        </is>
      </c>
      <c r="B233" s="26" t="inlineStr">
        <is>
          <t>Vance Heating &amp; Air Conditioning</t>
        </is>
      </c>
      <c r="C233" s="26" t="inlineStr">
        <is>
          <t>(509) 557-7561</t>
        </is>
      </c>
      <c r="D233" s="26" t="inlineStr">
        <is>
          <t>Yes</t>
        </is>
      </c>
      <c r="E233" s="26" t="n"/>
      <c r="F233" s="26" t="inlineStr">
        <is>
          <t>Professional</t>
        </is>
      </c>
      <c r="G233" s="26" t="n">
        <v>4.9</v>
      </c>
      <c r="H233" s="26" t="n">
        <v>2632</v>
      </c>
      <c r="I233" s="42" t="inlineStr">
        <is>
          <t>Skip</t>
        </is>
      </c>
      <c r="J233" s="26" t="n"/>
      <c r="K233" s="26" t="inlineStr">
        <is>
          <t>Yakima-metro giant. Yakima core = saturated.</t>
        </is>
      </c>
      <c r="L233" s="26" t="inlineStr">
        <is>
          <t>Google Maps</t>
        </is>
      </c>
      <c r="M233" s="26" t="inlineStr">
        <is>
          <t>2026-07-02</t>
        </is>
      </c>
    </row>
    <row r="234" ht="15.75" customHeight="1" s="21">
      <c r="A234" s="26" t="inlineStr">
        <is>
          <t>Yakima</t>
        </is>
      </c>
      <c r="B234" s="26" t="inlineStr">
        <is>
          <t>Campbell &amp; Company</t>
        </is>
      </c>
      <c r="C234" s="26" t="inlineStr">
        <is>
          <t>(509) 724-2329</t>
        </is>
      </c>
      <c r="D234" s="26" t="inlineStr">
        <is>
          <t>Yes</t>
        </is>
      </c>
      <c r="E234" s="26" t="n"/>
      <c r="F234" s="26" t="inlineStr">
        <is>
          <t>Professional</t>
        </is>
      </c>
      <c r="G234" s="26" t="n">
        <v>4.9</v>
      </c>
      <c r="H234" s="26" t="n">
        <v>2990</v>
      </c>
      <c r="I234" s="42" t="inlineStr">
        <is>
          <t>Skip</t>
        </is>
      </c>
      <c r="J234" s="26" t="n"/>
      <c r="K234" s="26" t="inlineStr">
        <is>
          <t>Yakima-metro giant (multi-trade).</t>
        </is>
      </c>
      <c r="L234" s="26" t="inlineStr">
        <is>
          <t>Google Maps</t>
        </is>
      </c>
      <c r="M234" s="26" t="inlineStr">
        <is>
          <t>2026-07-02</t>
        </is>
      </c>
    </row>
    <row r="235" ht="43.5" customHeight="1" s="21">
      <c r="A235" s="26" t="inlineStr">
        <is>
          <t>Bothell</t>
        </is>
      </c>
      <c r="B235" s="26" t="inlineStr">
        <is>
          <t>Pacific Air Control Inc</t>
        </is>
      </c>
      <c r="C235" s="26" t="inlineStr">
        <is>
          <t>(206) 682-6393</t>
        </is>
      </c>
      <c r="D235" s="26" t="inlineStr">
        <is>
          <t>Yes</t>
        </is>
      </c>
      <c r="E235" s="26" t="inlineStr">
        <is>
          <t>pacificaircontrol.com</t>
        </is>
      </c>
      <c r="F235" s="26" t="n"/>
      <c r="G235" s="26" t="n">
        <v>3.3</v>
      </c>
      <c r="H235" s="26" t="n">
        <v>13</v>
      </c>
      <c r="I235" s="42" t="inlineStr">
        <is>
          <t>Skip</t>
        </is>
      </c>
      <c r="J235" s="26" t="n"/>
      <c r="K235" s="26" t="inlineStr">
        <is>
          <t>Goldmine triage (48.7-yr license): fails star bar (3.3), commercial-HVAC/duct-cleaning focus, unclaimed listing. Not a residential fit.</t>
        </is>
      </c>
      <c r="L235" s="26" t="inlineStr">
        <is>
          <t>WA L&amp;I bulk dataset + Maps</t>
        </is>
      </c>
      <c r="M235" s="26" t="inlineStr">
        <is>
          <t>2026-07-02</t>
        </is>
      </c>
    </row>
    <row r="236" ht="43.5" customHeight="1" s="21">
      <c r="A236" s="26" t="inlineStr">
        <is>
          <t>Tacoma</t>
        </is>
      </c>
      <c r="B236" s="26" t="inlineStr">
        <is>
          <t>Narrows Heating &amp; Air Conditioning</t>
        </is>
      </c>
      <c r="C236" s="26" t="inlineStr">
        <is>
          <t>(253) 627-7543</t>
        </is>
      </c>
      <c r="D236" s="26" t="inlineStr">
        <is>
          <t>Yes</t>
        </is>
      </c>
      <c r="E236" s="26" t="inlineStr">
        <is>
          <t>narrowsheating.com</t>
        </is>
      </c>
      <c r="F236" s="26" t="inlineStr">
        <is>
          <t>Professional</t>
        </is>
      </c>
      <c r="G236" s="26" t="n">
        <v>4.9</v>
      </c>
      <c r="H236" s="26" t="n">
        <v>533</v>
      </c>
      <c r="I236" s="42" t="inlineStr">
        <is>
          <t>Skip</t>
        </is>
      </c>
      <c r="J236" s="26" t="n"/>
      <c r="K236" s="26" t="inlineStr">
        <is>
          <t>Goldmine triage (47-yr license): thriving - 533 reviews, owner responds to every review, pro site. Too healthy.</t>
        </is>
      </c>
      <c r="L236" s="26" t="inlineStr">
        <is>
          <t>WA L&amp;I bulk dataset + Maps</t>
        </is>
      </c>
      <c r="M236" s="26" t="inlineStr">
        <is>
          <t>2026-07-02</t>
        </is>
      </c>
    </row>
    <row r="237" ht="28.5" customHeight="1" s="21">
      <c r="A237" s="26" t="inlineStr">
        <is>
          <t>Puyallup</t>
        </is>
      </c>
      <c r="B237" s="26" t="inlineStr">
        <is>
          <t>Valley Furnace</t>
        </is>
      </c>
      <c r="C237" s="26" t="inlineStr">
        <is>
          <t>(253) 848-3517</t>
        </is>
      </c>
      <c r="D237" s="26" t="inlineStr">
        <is>
          <t>Yes</t>
        </is>
      </c>
      <c r="E237" s="26" t="inlineStr">
        <is>
          <t>valleyfurnace.com</t>
        </is>
      </c>
      <c r="F237" s="26" t="inlineStr">
        <is>
          <t>Assumed professional</t>
        </is>
      </c>
      <c r="G237" s="26" t="n">
        <v>4.8</v>
      </c>
      <c r="H237" s="26" t="n">
        <v>155</v>
      </c>
      <c r="I237" s="42" t="inlineStr">
        <is>
          <t>Skip</t>
        </is>
      </c>
      <c r="J237" s="26" t="inlineStr">
        <is>
          <t>Theresa (staff)</t>
        </is>
      </c>
      <c r="K237" s="26" t="inlineStr">
        <is>
          <t>Goldmine triage (41.5-yr license): 155 reviews, owner responds, women-owned badge, active. STEP 24 heuristic.</t>
        </is>
      </c>
      <c r="L237" s="26" t="inlineStr">
        <is>
          <t>WA L&amp;I bulk dataset + Maps</t>
        </is>
      </c>
      <c r="M237" s="26" t="inlineStr">
        <is>
          <t>2026-07-02</t>
        </is>
      </c>
    </row>
    <row r="238" ht="43.5" customHeight="1" s="21">
      <c r="A238" s="26" t="inlineStr">
        <is>
          <t>Redmond</t>
        </is>
      </c>
      <c r="B238" s="26" t="inlineStr">
        <is>
          <t>Universal Mechanical Service</t>
        </is>
      </c>
      <c r="C238" s="26" t="inlineStr">
        <is>
          <t>(425) 885-9100</t>
        </is>
      </c>
      <c r="D238" s="26" t="inlineStr">
        <is>
          <t>Yes</t>
        </is>
      </c>
      <c r="E238" s="26" t="inlineStr">
        <is>
          <t>unimec.com</t>
        </is>
      </c>
      <c r="F238" s="26" t="n"/>
      <c r="G238" s="26" t="n">
        <v>1</v>
      </c>
      <c r="H238" s="26" t="n">
        <v>1</v>
      </c>
      <c r="I238" s="42" t="inlineStr">
        <is>
          <t>Skip</t>
        </is>
      </c>
      <c r="J238" s="26" t="inlineStr">
        <is>
          <t>Kurtis Gene Wilson (L&amp;I principal)</t>
        </is>
      </c>
      <c r="K238" s="26" t="inlineStr">
        <is>
          <t>Goldmine triage (39-yr license): 1.0 star review alleging overcharging; commercial focus. Reputation risk - not a fit.</t>
        </is>
      </c>
      <c r="L238" s="26" t="inlineStr">
        <is>
          <t>WA L&amp;I bulk dataset + Maps</t>
        </is>
      </c>
      <c r="M238" s="26" t="inlineStr">
        <is>
          <t>2026-07-02</t>
        </is>
      </c>
    </row>
    <row r="239" ht="28.5" customHeight="1" s="21">
      <c r="A239" s="26" t="inlineStr">
        <is>
          <t>Auburn</t>
        </is>
      </c>
      <c r="B239" s="26" t="inlineStr">
        <is>
          <t>Ambient Control</t>
        </is>
      </c>
      <c r="C239" s="26" t="inlineStr">
        <is>
          <t>(253) 876-9933</t>
        </is>
      </c>
      <c r="D239" s="26" t="inlineStr">
        <is>
          <t>Yes</t>
        </is>
      </c>
      <c r="E239" s="26" t="inlineStr">
        <is>
          <t>ambientcontrol.com</t>
        </is>
      </c>
      <c r="F239" s="26" t="n"/>
      <c r="G239" s="26" t="n">
        <v>2.4</v>
      </c>
      <c r="H239" s="26" t="n">
        <v>17</v>
      </c>
      <c r="I239" s="42" t="inlineStr">
        <is>
          <t>Skip</t>
        </is>
      </c>
      <c r="J239" s="26" t="inlineStr">
        <is>
          <t>Kelli Elizabeth Mcnichols (L&amp;I principal)</t>
        </is>
      </c>
      <c r="K239" s="26" t="inlineStr">
        <is>
          <t>Goldmine triage (35.7-yr license): 2.4 stars, unclaimed, hostile reviews. Fails bar badly.</t>
        </is>
      </c>
      <c r="L239" s="26" t="inlineStr">
        <is>
          <t>WA L&amp;I bulk dataset + Maps</t>
        </is>
      </c>
      <c r="M239" s="26" t="inlineStr">
        <is>
          <t>2026-07-02</t>
        </is>
      </c>
    </row>
    <row r="240" ht="28.5" customHeight="1" s="21">
      <c r="A240" s="26" t="inlineStr">
        <is>
          <t>Lynnwood</t>
        </is>
      </c>
      <c r="B240" s="26" t="inlineStr">
        <is>
          <t>Ballard Natural Gas Service</t>
        </is>
      </c>
      <c r="C240" s="26" t="inlineStr">
        <is>
          <t>(206) 784-8101</t>
        </is>
      </c>
      <c r="D240" s="26" t="inlineStr">
        <is>
          <t>Yes</t>
        </is>
      </c>
      <c r="E240" s="26" t="inlineStr">
        <is>
          <t>ballardnaturalgas.com</t>
        </is>
      </c>
      <c r="F240" s="26" t="inlineStr">
        <is>
          <t>Professional</t>
        </is>
      </c>
      <c r="G240" s="26" t="n">
        <v>4.9</v>
      </c>
      <c r="H240" s="26" t="n">
        <v>1522</v>
      </c>
      <c r="I240" s="42" t="inlineStr">
        <is>
          <t>Skip</t>
        </is>
      </c>
      <c r="J240" s="26" t="inlineStr">
        <is>
          <t>Landis Charles Kappen (L&amp;I principal)</t>
        </is>
      </c>
      <c r="K240" s="26" t="inlineStr">
        <is>
          <t>Goldmine triage (31.7-yr license): 1,522 reviews, 24hr, blog content, Book online - regional giant.</t>
        </is>
      </c>
      <c r="L240" s="26" t="inlineStr">
        <is>
          <t>WA L&amp;I bulk dataset + Maps</t>
        </is>
      </c>
      <c r="M240" s="26" t="inlineStr">
        <is>
          <t>2026-07-02</t>
        </is>
      </c>
    </row>
    <row r="241" ht="87" customHeight="1" s="21">
      <c r="A241" s="32" t="inlineStr">
        <is>
          <t>Kent</t>
        </is>
      </c>
      <c r="B241" s="32" t="inlineStr">
        <is>
          <t>AAA Heating &amp; Air Conditioning</t>
        </is>
      </c>
      <c r="C241" s="32" t="inlineStr">
        <is>
          <t>(253) 234-1278</t>
        </is>
      </c>
      <c r="D241" s="32" t="inlineStr">
        <is>
          <t>Yes</t>
        </is>
      </c>
      <c r="E241" s="32" t="inlineStr">
        <is>
          <t>aaaheatingac.com</t>
        </is>
      </c>
      <c r="F241" s="32" t="inlineStr">
        <is>
          <t>Legacy score 4/5 (solid site)</t>
        </is>
      </c>
      <c r="G241" s="32" t="n"/>
      <c r="H241" s="32" t="n"/>
      <c r="I241" s="43" t="inlineStr">
        <is>
          <t>Skip</t>
        </is>
      </c>
      <c r="J241" s="32" t="inlineStr"/>
      <c r="K241" s="32" t="inlineStr">
        <is>
          <t>LEGACY IMPORT from old hvac-prospects.xlsx (pre-Round-9 0-5 scoring) - re-verify current status before calling. Good site - only remaining pitch is ProBook booking automation (different product angle than website rebuild). Solid but generic Blue Corona template, no booking calendar, no differentiator</t>
        </is>
      </c>
      <c r="L241" s="32" t="inlineStr">
        <is>
          <t>Legacy tracker</t>
        </is>
      </c>
      <c r="M241" s="32" t="inlineStr">
        <is>
          <t>2026-07-02</t>
        </is>
      </c>
    </row>
    <row r="242" ht="87" customHeight="1" s="21">
      <c r="A242" s="32" t="inlineStr">
        <is>
          <t>Kirkland</t>
        </is>
      </c>
      <c r="B242" s="32" t="inlineStr">
        <is>
          <t>All Climate Heating &amp; Air</t>
        </is>
      </c>
      <c r="C242" s="32" t="inlineStr">
        <is>
          <t>(425) 641-0433</t>
        </is>
      </c>
      <c r="D242" s="32" t="inlineStr">
        <is>
          <t>Yes</t>
        </is>
      </c>
      <c r="E242" s="32" t="inlineStr">
        <is>
          <t>allclimate.net</t>
        </is>
      </c>
      <c r="F242" s="32" t="inlineStr">
        <is>
          <t>Legacy score 4/5 (solid site)</t>
        </is>
      </c>
      <c r="G242" s="32" t="n"/>
      <c r="H242" s="32" t="n"/>
      <c r="I242" s="43" t="inlineStr">
        <is>
          <t>Skip</t>
        </is>
      </c>
      <c r="J242" s="32" t="inlineStr"/>
      <c r="K242" s="32" t="inlineStr">
        <is>
          <t>LEGACY IMPORT from old hvac-prospects.xlsx (pre-Round-9 0-5 scoring) - re-verify current status before calling. Good site - only remaining pitch is ProBook booking automation (different product angle than website rebuild). Functional site but aging design and no online booking integration</t>
        </is>
      </c>
      <c r="L242" s="32" t="inlineStr">
        <is>
          <t>Legacy tracker</t>
        </is>
      </c>
      <c r="M242" s="32" t="inlineStr">
        <is>
          <t>2026-07-02</t>
        </is>
      </c>
    </row>
    <row r="243" ht="87" customHeight="1" s="21">
      <c r="A243" s="32" t="inlineStr">
        <is>
          <t>Yakima</t>
        </is>
      </c>
      <c r="B243" s="32" t="inlineStr">
        <is>
          <t>ACT Absolute Comfort Technology</t>
        </is>
      </c>
      <c r="C243" s="32" t="inlineStr">
        <is>
          <t>(509) 388-2997</t>
        </is>
      </c>
      <c r="D243" s="32" t="inlineStr">
        <is>
          <t>Yes</t>
        </is>
      </c>
      <c r="E243" s="32" t="inlineStr">
        <is>
          <t>actheatandair.com</t>
        </is>
      </c>
      <c r="F243" s="32" t="inlineStr">
        <is>
          <t>Legacy score 4/5 (solid site)</t>
        </is>
      </c>
      <c r="G243" s="32" t="n"/>
      <c r="H243" s="32" t="n"/>
      <c r="I243" s="43" t="inlineStr">
        <is>
          <t>Skip</t>
        </is>
      </c>
      <c r="J243" s="32" t="inlineStr"/>
      <c r="K243" s="32" t="inlineStr">
        <is>
          <t>LEGACY IMPORT from old hvac-prospects.xlsx (pre-Round-9 0-5 scoring) - re-verify current status before calling. Good site - only remaining pitch is ProBook booking automation (different product angle than website rebuild). Good content and testimonials but visually dated 2017 BeTheme, no booking</t>
        </is>
      </c>
      <c r="L243" s="32" t="inlineStr">
        <is>
          <t>Legacy tracker</t>
        </is>
      </c>
      <c r="M243" s="32" t="inlineStr">
        <is>
          <t>2026-07-02</t>
        </is>
      </c>
    </row>
    <row r="244" ht="87" customHeight="1" s="21">
      <c r="A244" s="32" t="inlineStr">
        <is>
          <t>Kennewick</t>
        </is>
      </c>
      <c r="B244" s="32" t="inlineStr">
        <is>
          <t>Dayco Heating and Cooling</t>
        </is>
      </c>
      <c r="C244" s="32" t="inlineStr">
        <is>
          <t>(509) 586-9464</t>
        </is>
      </c>
      <c r="D244" s="32" t="inlineStr">
        <is>
          <t>Yes</t>
        </is>
      </c>
      <c r="E244" s="32" t="inlineStr">
        <is>
          <t>daycoheating.com</t>
        </is>
      </c>
      <c r="F244" s="32" t="inlineStr">
        <is>
          <t>Legacy score 4/5 (solid site)</t>
        </is>
      </c>
      <c r="G244" s="32" t="n"/>
      <c r="H244" s="32" t="n"/>
      <c r="I244" s="43" t="inlineStr">
        <is>
          <t>Skip</t>
        </is>
      </c>
      <c r="J244" s="32" t="inlineStr"/>
      <c r="K244" s="32" t="inlineStr">
        <is>
          <t>LEGACY IMPORT from old hvac-prospects.xlsx (pre-Round-9 0-5 scoring) - re-verify current status before calling. Good site - only remaining pitch is ProBook booking automation (different product angle than website rebuild). Family business since 1985, has booking via ServiceTitan but dated design</t>
        </is>
      </c>
      <c r="L244" s="32" t="inlineStr">
        <is>
          <t>Legacy tracker</t>
        </is>
      </c>
      <c r="M244" s="32" t="inlineStr">
        <is>
          <t>2026-07-02</t>
        </is>
      </c>
    </row>
    <row r="245" ht="87" customHeight="1" s="21">
      <c r="A245" s="32" t="inlineStr">
        <is>
          <t>Vancouver WA</t>
        </is>
      </c>
      <c r="B245" s="32" t="inlineStr">
        <is>
          <t>Miller's Heating &amp; Air</t>
        </is>
      </c>
      <c r="C245" s="32" t="inlineStr">
        <is>
          <t>(360) 693-6455</t>
        </is>
      </c>
      <c r="D245" s="32" t="inlineStr">
        <is>
          <t>Yes</t>
        </is>
      </c>
      <c r="E245" s="32" t="inlineStr">
        <is>
          <t>millersheating.com</t>
        </is>
      </c>
      <c r="F245" s="32" t="inlineStr">
        <is>
          <t>Legacy score 4/5 (solid site)</t>
        </is>
      </c>
      <c r="G245" s="32" t="n"/>
      <c r="H245" s="32" t="n"/>
      <c r="I245" s="43" t="inlineStr">
        <is>
          <t>Skip</t>
        </is>
      </c>
      <c r="J245" s="32" t="inlineStr"/>
      <c r="K245" s="32" t="inlineStr">
        <is>
          <t>LEGACY IMPORT from old hvac-prospects.xlsx (pre-Round-9 0-5 scoring) - re-verify current status before calling. Good site - only remaining pitch is ProBook booking automation (different product angle than website rebuild). Family-run since 1947 with decent site, but design aging and no auto-booking</t>
        </is>
      </c>
      <c r="L245" s="32" t="inlineStr">
        <is>
          <t>Legacy tracker</t>
        </is>
      </c>
      <c r="M245" s="32" t="inlineStr">
        <is>
          <t>2026-07-02</t>
        </is>
      </c>
    </row>
    <row r="246" ht="87" customHeight="1" s="21">
      <c r="A246" s="32" t="inlineStr">
        <is>
          <t>Vancouver WA</t>
        </is>
      </c>
      <c r="B246" s="32" t="inlineStr">
        <is>
          <t>Revival Heating &amp; Cooling</t>
        </is>
      </c>
      <c r="C246" s="32" t="inlineStr"/>
      <c r="D246" s="32" t="inlineStr">
        <is>
          <t>Yes</t>
        </is>
      </c>
      <c r="E246" s="32" t="inlineStr">
        <is>
          <t>callrevival.com</t>
        </is>
      </c>
      <c r="F246" s="32" t="inlineStr">
        <is>
          <t>Legacy score 4/5 (solid site)</t>
        </is>
      </c>
      <c r="G246" s="32" t="n"/>
      <c r="H246" s="32" t="n"/>
      <c r="I246" s="43" t="inlineStr">
        <is>
          <t>Skip</t>
        </is>
      </c>
      <c r="J246" s="32" t="inlineStr"/>
      <c r="K246" s="32" t="inlineStr">
        <is>
          <t>LEGACY IMPORT from old hvac-prospects.xlsx (pre-Round-9 0-5 scoring) - re-verify current status before calling. Good site - only remaining pitch is ProBook booking automation (different product angle than website rebuild). Modern-ish site with good design but lead form is weak and no booking system</t>
        </is>
      </c>
      <c r="L246" s="32" t="inlineStr">
        <is>
          <t>Legacy tracker</t>
        </is>
      </c>
      <c r="M246" s="32" t="inlineStr">
        <is>
          <t>2026-07-02</t>
        </is>
      </c>
    </row>
    <row r="247" ht="87" customHeight="1" s="21">
      <c r="A247" s="32" t="inlineStr">
        <is>
          <t>Vancouver WA</t>
        </is>
      </c>
      <c r="B247" s="32" t="inlineStr">
        <is>
          <t>Jacobs HVAC</t>
        </is>
      </c>
      <c r="C247" s="32" t="inlineStr">
        <is>
          <t>(503) 234-0611</t>
        </is>
      </c>
      <c r="D247" s="32" t="inlineStr">
        <is>
          <t>Yes</t>
        </is>
      </c>
      <c r="E247" s="32" t="inlineStr">
        <is>
          <t>jacobsheating.com</t>
        </is>
      </c>
      <c r="F247" s="32" t="inlineStr">
        <is>
          <t>Legacy score 4/5 (solid site)</t>
        </is>
      </c>
      <c r="G247" s="32" t="n"/>
      <c r="H247" s="32" t="n"/>
      <c r="I247" s="43" t="inlineStr">
        <is>
          <t>Skip</t>
        </is>
      </c>
      <c r="J247" s="32" t="inlineStr"/>
      <c r="K247" s="32" t="inlineStr">
        <is>
          <t>LEGACY IMPORT from old hvac-prospects.xlsx (pre-Round-9 0-5 scoring) - re-verify current status before calling. Good site - only remaining pitch is ProBook booking automation (different product angle than website rebuild). Nearly 70-year company, well-built site but lacks automated booking system</t>
        </is>
      </c>
      <c r="L247" s="32" t="inlineStr">
        <is>
          <t>Legacy tracker</t>
        </is>
      </c>
      <c r="M247" s="32" t="inlineStr">
        <is>
          <t>2026-07-02</t>
        </is>
      </c>
    </row>
    <row r="248" ht="87" customHeight="1" s="21">
      <c r="A248" s="32" t="inlineStr">
        <is>
          <t>Spokane</t>
        </is>
      </c>
      <c r="B248" s="32" t="inlineStr">
        <is>
          <t>Hurliman Heating &amp; Air</t>
        </is>
      </c>
      <c r="C248" s="32" t="inlineStr">
        <is>
          <t>(509) 535-4800</t>
        </is>
      </c>
      <c r="D248" s="32" t="inlineStr">
        <is>
          <t>Yes</t>
        </is>
      </c>
      <c r="E248" s="32" t="inlineStr">
        <is>
          <t>hurlimanheating.com</t>
        </is>
      </c>
      <c r="F248" s="32" t="inlineStr">
        <is>
          <t>Legacy score 5/5 (solid site)</t>
        </is>
      </c>
      <c r="G248" s="32" t="n"/>
      <c r="H248" s="32" t="n"/>
      <c r="I248" s="43" t="inlineStr">
        <is>
          <t>Skip</t>
        </is>
      </c>
      <c r="J248" s="32" t="inlineStr"/>
      <c r="K248" s="32" t="inlineStr">
        <is>
          <t>LEGACY IMPORT from old hvac-prospects.xlsx (pre-Round-9 0-5 scoring) - re-verify current status before calling. Good site - only remaining pitch is ProBook booking automation (different product angle than website rebuild). Since 1957, strong modern site — but spending on ads with no auto-booking</t>
        </is>
      </c>
      <c r="L248" s="32" t="inlineStr">
        <is>
          <t>Legacy tracker</t>
        </is>
      </c>
      <c r="M248" s="32" t="inlineStr">
        <is>
          <t>2026-07-02</t>
        </is>
      </c>
    </row>
    <row r="249" ht="87" customHeight="1" s="21">
      <c r="A249" s="32" t="inlineStr">
        <is>
          <t>Spokane</t>
        </is>
      </c>
      <c r="B249" s="32" t="inlineStr">
        <is>
          <t>Sturm Heating</t>
        </is>
      </c>
      <c r="C249" s="32" t="inlineStr"/>
      <c r="D249" s="32" t="inlineStr">
        <is>
          <t>Yes</t>
        </is>
      </c>
      <c r="E249" s="32" t="inlineStr">
        <is>
          <t>sturmheating.com</t>
        </is>
      </c>
      <c r="F249" s="32" t="inlineStr">
        <is>
          <t>Legacy score 5/5 (solid site)</t>
        </is>
      </c>
      <c r="G249" s="32" t="n"/>
      <c r="H249" s="32" t="n"/>
      <c r="I249" s="43" t="inlineStr">
        <is>
          <t>Skip</t>
        </is>
      </c>
      <c r="J249" s="32" t="inlineStr"/>
      <c r="K249" s="32" t="inlineStr">
        <is>
          <t>LEGACY IMPORT from old hvac-prospects.xlsx (pre-Round-9 0-5 scoring) - re-verify current status before calling. Good site - only remaining pitch is ProBook booking automation (different product angle than website rebuild). Established 1945, full-featured site — missing ProBook auto-booking layer</t>
        </is>
      </c>
      <c r="L249" s="32" t="inlineStr">
        <is>
          <t>Legacy tracker</t>
        </is>
      </c>
      <c r="M249" s="32" t="inlineStr">
        <is>
          <t>2026-07-02</t>
        </is>
      </c>
    </row>
    <row r="250" ht="87" customHeight="1" s="21">
      <c r="A250" s="32" t="inlineStr">
        <is>
          <t>Tacoma</t>
        </is>
      </c>
      <c r="B250" s="32" t="inlineStr">
        <is>
          <t>Kliemann Brothers</t>
        </is>
      </c>
      <c r="C250" s="32" t="inlineStr">
        <is>
          <t>(253) 537-0655</t>
        </is>
      </c>
      <c r="D250" s="32" t="inlineStr">
        <is>
          <t>Yes</t>
        </is>
      </c>
      <c r="E250" s="32" t="inlineStr">
        <is>
          <t>kliemannbros.com</t>
        </is>
      </c>
      <c r="F250" s="32" t="inlineStr">
        <is>
          <t>Legacy score 5/5 (solid site)</t>
        </is>
      </c>
      <c r="G250" s="32" t="n"/>
      <c r="H250" s="32" t="n"/>
      <c r="I250" s="43" t="inlineStr">
        <is>
          <t>Skip</t>
        </is>
      </c>
      <c r="J250" s="32" t="inlineStr"/>
      <c r="K250" s="32" t="inlineStr">
        <is>
          <t>LEGACY IMPORT from old hvac-prospects.xlsx (pre-Round-9 0-5 scoring) - re-verify current status before calling. Good site - only remaining pitch is ProBook booking automation (different product angle than website rebuild). Established Tacoma company, modern site but still no automated booking</t>
        </is>
      </c>
      <c r="L250" s="32" t="inlineStr">
        <is>
          <t>Legacy tracker</t>
        </is>
      </c>
      <c r="M250" s="32" t="inlineStr">
        <is>
          <t>2026-07-02</t>
        </is>
      </c>
    </row>
    <row r="251" ht="87" customHeight="1" s="21">
      <c r="A251" s="32" t="inlineStr">
        <is>
          <t>Bellingham</t>
        </is>
      </c>
      <c r="B251" s="32" t="inlineStr">
        <is>
          <t>Barron Home Services</t>
        </is>
      </c>
      <c r="C251" s="32" t="inlineStr"/>
      <c r="D251" s="32" t="inlineStr">
        <is>
          <t>Yes</t>
        </is>
      </c>
      <c r="E251" s="32" t="inlineStr">
        <is>
          <t>barronheating.com</t>
        </is>
      </c>
      <c r="F251" s="32" t="inlineStr">
        <is>
          <t>Legacy score 5/5 (solid site)</t>
        </is>
      </c>
      <c r="G251" s="32" t="n"/>
      <c r="H251" s="32" t="n"/>
      <c r="I251" s="43" t="inlineStr">
        <is>
          <t>Skip</t>
        </is>
      </c>
      <c r="J251" s="32" t="inlineStr"/>
      <c r="K251" s="32" t="inlineStr">
        <is>
          <t>LEGACY IMPORT from old hvac-prospects.xlsx (pre-Round-9 0-5 scoring) - re-verify current status before calling. Good site - only remaining pitch is ProBook booking automation (different product angle than website rebuild). Strong regional brand since 1972 — still no auto-booking layer integrated</t>
        </is>
      </c>
      <c r="L251" s="32" t="inlineStr">
        <is>
          <t>Legacy tracker</t>
        </is>
      </c>
      <c r="M251" s="32" t="inlineStr">
        <is>
          <t>2026-07-02</t>
        </is>
      </c>
    </row>
    <row r="252" ht="87" customHeight="1" s="21">
      <c r="A252" s="32" t="inlineStr">
        <is>
          <t>Seattle</t>
        </is>
      </c>
      <c r="B252" s="32" t="inlineStr">
        <is>
          <t>Seatown Electric Plumbing &amp; Air</t>
        </is>
      </c>
      <c r="C252" s="32" t="inlineStr">
        <is>
          <t>(206) 400-0709</t>
        </is>
      </c>
      <c r="D252" s="32" t="inlineStr">
        <is>
          <t>Yes</t>
        </is>
      </c>
      <c r="E252" s="32" t="inlineStr">
        <is>
          <t>seatownservices.com</t>
        </is>
      </c>
      <c r="F252" s="32" t="inlineStr">
        <is>
          <t>Legacy score 5/5 (solid site)</t>
        </is>
      </c>
      <c r="G252" s="32" t="n"/>
      <c r="H252" s="32" t="n"/>
      <c r="I252" s="43" t="inlineStr">
        <is>
          <t>Skip</t>
        </is>
      </c>
      <c r="J252" s="32" t="inlineStr"/>
      <c r="K252" s="32" t="inlineStr">
        <is>
          <t>LEGACY IMPORT from old hvac-prospects.xlsx (pre-Round-9 0-5 scoring) - re-verify current status before calling. Good site - only remaining pitch is ProBook booking automation (different product angle than website rebuild). Well-funded with strong digital — still no ProBook auto-booking system</t>
        </is>
      </c>
      <c r="L252" s="32" t="inlineStr">
        <is>
          <t>Legacy tracker</t>
        </is>
      </c>
      <c r="M252" s="32" t="inlineStr">
        <is>
          <t>2026-07-02</t>
        </is>
      </c>
    </row>
    <row r="253" ht="87" customHeight="1" s="21">
      <c r="A253" s="32" t="inlineStr">
        <is>
          <t>Kennewick</t>
        </is>
      </c>
      <c r="B253" s="32" t="inlineStr">
        <is>
          <t>Chinook Heating &amp; Air</t>
        </is>
      </c>
      <c r="C253" s="32" t="inlineStr"/>
      <c r="D253" s="32" t="inlineStr">
        <is>
          <t>Yes</t>
        </is>
      </c>
      <c r="E253" s="32" t="inlineStr">
        <is>
          <t>callchinook.com</t>
        </is>
      </c>
      <c r="F253" s="32" t="inlineStr">
        <is>
          <t>Legacy score 5/5 (solid site)</t>
        </is>
      </c>
      <c r="G253" s="32" t="n"/>
      <c r="H253" s="32" t="n"/>
      <c r="I253" s="43" t="inlineStr">
        <is>
          <t>Skip</t>
        </is>
      </c>
      <c r="J253" s="32" t="inlineStr"/>
      <c r="K253" s="32" t="inlineStr">
        <is>
          <t>LEGACY IMPORT from old hvac-prospects.xlsx (pre-Round-9 0-5 scoring) - re-verify current status before calling. Good site - only remaining pitch is ProBook booking automation (different product angle than website rebuild). Since 2000, modern site, running ads — still no automated appointment booking</t>
        </is>
      </c>
      <c r="L253" s="32" t="inlineStr">
        <is>
          <t>Legacy tracker</t>
        </is>
      </c>
      <c r="M253" s="32" t="inlineStr">
        <is>
          <t>2026-07-02</t>
        </is>
      </c>
    </row>
    <row r="254" ht="29" customHeight="1" s="21">
      <c r="A254" s="32" t="inlineStr">
        <is>
          <t>Lynnwood</t>
        </is>
      </c>
      <c r="B254" s="32" t="inlineStr">
        <is>
          <t>Pacific Mechanical Systems Inc</t>
        </is>
      </c>
      <c r="C254" s="32" t="inlineStr">
        <is>
          <t>(425) 771-2495</t>
        </is>
      </c>
      <c r="D254" s="32" t="inlineStr">
        <is>
          <t>Yes</t>
        </is>
      </c>
      <c r="E254" s="32" t="inlineStr">
        <is>
          <t>pacmech-hvac.net</t>
        </is>
      </c>
      <c r="F254" s="32" t="inlineStr"/>
      <c r="G254" s="32" t="n">
        <v>1</v>
      </c>
      <c r="H254" s="32" t="n">
        <v>1</v>
      </c>
      <c r="I254" s="43" t="inlineStr">
        <is>
          <t>Skip</t>
        </is>
      </c>
      <c r="J254" s="32" t="inlineStr"/>
      <c r="K254" s="32" t="inlineStr">
        <is>
          <t>Goldmine triage (29.4-yr license): commercial mechanical, 1.0 star, unclaimed. Not a fit.</t>
        </is>
      </c>
      <c r="L254" s="32" t="inlineStr">
        <is>
          <t>WA L&amp;I bulk dataset + Maps</t>
        </is>
      </c>
      <c r="M254" s="32" t="inlineStr">
        <is>
          <t>2026-07-02</t>
        </is>
      </c>
    </row>
    <row r="255" ht="43.5" customHeight="1" s="21">
      <c r="A255" s="32" t="inlineStr">
        <is>
          <t>Sumner</t>
        </is>
      </c>
      <c r="B255" s="32" t="inlineStr">
        <is>
          <t>Dr. Cool Inc</t>
        </is>
      </c>
      <c r="C255" s="32" t="inlineStr">
        <is>
          <t>(253) 863-5665</t>
        </is>
      </c>
      <c r="D255" s="32" t="inlineStr">
        <is>
          <t>Yes</t>
        </is>
      </c>
      <c r="E255" s="32" t="inlineStr">
        <is>
          <t>drcooldrheat.net</t>
        </is>
      </c>
      <c r="F255" s="32" t="inlineStr">
        <is>
          <t>Assumed professional</t>
        </is>
      </c>
      <c r="G255" s="32" t="n">
        <v>4.3</v>
      </c>
      <c r="H255" s="32" t="n">
        <v>40</v>
      </c>
      <c r="I255" s="43" t="inlineStr">
        <is>
          <t>Skip</t>
        </is>
      </c>
      <c r="J255" s="32" t="inlineStr">
        <is>
          <t>Anna Kennison (L&amp;I principal)</t>
        </is>
      </c>
      <c r="K255" s="32" t="inlineStr">
        <is>
          <t>Goldmine triage (27.6-yr license): Book online + weekly AI-topic blog posts on GMB = digitally active operator. STEP 24 heuristic.</t>
        </is>
      </c>
      <c r="L255" s="32" t="inlineStr">
        <is>
          <t>WA L&amp;I bulk dataset + Maps</t>
        </is>
      </c>
      <c r="M255" s="32" t="inlineStr">
        <is>
          <t>2026-07-02</t>
        </is>
      </c>
    </row>
    <row r="256" ht="72.5" customHeight="1" s="21">
      <c r="A256" s="32" t="inlineStr">
        <is>
          <t>Edmonds</t>
        </is>
      </c>
      <c r="B256" s="32" t="inlineStr">
        <is>
          <t>Matuska Heating Service Inc</t>
        </is>
      </c>
      <c r="C256" s="32" t="inlineStr">
        <is>
          <t>(425) 776-4867</t>
        </is>
      </c>
      <c r="D256" s="32" t="inlineStr">
        <is>
          <t>No</t>
        </is>
      </c>
      <c r="E256" s="32" t="inlineStr">
        <is>
          <t>N/A</t>
        </is>
      </c>
      <c r="F256" s="32" t="inlineStr"/>
      <c r="G256" s="32" t="n">
        <v>3.7</v>
      </c>
      <c r="H256" s="32" t="n">
        <v>22</v>
      </c>
      <c r="I256" s="43" t="inlineStr">
        <is>
          <t>Skip</t>
        </is>
      </c>
      <c r="J256" s="32" t="inlineStr">
        <is>
          <t>Perry (tech)</t>
        </is>
      </c>
      <c r="K256" s="32" t="inlineStr">
        <is>
          <t>Goldmine triage (27-yr license): NO WEBSITE but 3.7 stars w/ only 22 reviews - fails the 4.0 bar and does not meet the 40-review star-band exception. Mixed reviews (dispatch complaints). Revisit only if the star-band experiment validates.</t>
        </is>
      </c>
      <c r="L256" s="32" t="inlineStr">
        <is>
          <t>WA L&amp;I bulk dataset + Maps</t>
        </is>
      </c>
      <c r="M256" s="32" t="inlineStr">
        <is>
          <t>2026-07-02</t>
        </is>
      </c>
    </row>
    <row r="257" ht="58" customHeight="1" s="21">
      <c r="A257" s="32" t="inlineStr">
        <is>
          <t>Spokane</t>
        </is>
      </c>
      <c r="B257" s="32" t="inlineStr">
        <is>
          <t>Norco Heating and Air Conditioning</t>
        </is>
      </c>
      <c r="C257" s="32" t="inlineStr">
        <is>
          <t>(509) 534-4975</t>
        </is>
      </c>
      <c r="D257" s="32" t="inlineStr">
        <is>
          <t>Yes</t>
        </is>
      </c>
      <c r="E257" s="32" t="inlineStr">
        <is>
          <t>norcoha.com</t>
        </is>
      </c>
      <c r="F257" s="32" t="inlineStr">
        <is>
          <t>Professional</t>
        </is>
      </c>
      <c r="G257" s="32" t="inlineStr">
        <is>
          <t>4.3</t>
        </is>
      </c>
      <c r="H257" s="32" t="inlineStr">
        <is>
          <t>128</t>
        </is>
      </c>
      <c r="I257" s="43" t="inlineStr">
        <is>
          <t>Skip</t>
        </is>
      </c>
      <c r="J257" s="32" t="inlineStr">
        <is>
          <t>Len Byron Pedersen (L&amp;I principal)</t>
        </is>
      </c>
      <c r="K257" s="32" t="inlineStr">
        <is>
          <t>GOLDMINE (42.6-yr license, 1983). Actively managed: owner responds to every review, expanding into electrical, 24hr listing. STEP 24 HEURISTIC - site not deep-verified.</t>
        </is>
      </c>
      <c r="L257" s="32" t="inlineStr">
        <is>
          <t>L&amp;I Goldmine triage</t>
        </is>
      </c>
      <c r="M257" s="32" t="inlineStr">
        <is>
          <t>2026-07-02</t>
        </is>
      </c>
    </row>
    <row r="258" ht="43.5" customHeight="1" s="21">
      <c r="A258" s="32" t="inlineStr">
        <is>
          <t>Spokane Valley</t>
        </is>
      </c>
      <c r="B258" s="32" t="inlineStr">
        <is>
          <t>Advanced Mechanical Systems</t>
        </is>
      </c>
      <c r="C258" s="32" t="inlineStr">
        <is>
          <t>(509) 534-0547</t>
        </is>
      </c>
      <c r="D258" s="32" t="inlineStr">
        <is>
          <t>Yes</t>
        </is>
      </c>
      <c r="E258" s="32" t="inlineStr">
        <is>
          <t>amsspokane.com</t>
        </is>
      </c>
      <c r="F258" s="32" t="inlineStr">
        <is>
          <t>Professional</t>
        </is>
      </c>
      <c r="G258" s="32" t="inlineStr">
        <is>
          <t>4.5</t>
        </is>
      </c>
      <c r="H258" s="32" t="inlineStr">
        <is>
          <t>72</t>
        </is>
      </c>
      <c r="I258" s="43" t="inlineStr">
        <is>
          <t>Skip</t>
        </is>
      </c>
      <c r="J258" s="32" t="inlineStr">
        <is>
          <t>Greg Frank Date (L&amp;I principal)</t>
        </is>
      </c>
      <c r="K258" s="32" t="inlineStr">
        <is>
          <t>GOLDMINE (41.6-yr license, 1984). Working site, commercial-building focus, healthy recent reviews. STEP 24 HEURISTIC - site not deep-verified.</t>
        </is>
      </c>
      <c r="L258" s="32" t="inlineStr">
        <is>
          <t>L&amp;I Goldmine triage</t>
        </is>
      </c>
      <c r="M258" s="32" t="inlineStr">
        <is>
          <t>2026-07-02</t>
        </is>
      </c>
    </row>
    <row r="259" ht="43.5" customHeight="1" s="21">
      <c r="A259" s="32" t="inlineStr">
        <is>
          <t>Seattle</t>
        </is>
      </c>
      <c r="B259" s="32" t="inlineStr">
        <is>
          <t>Advanced Energy Savers Inc</t>
        </is>
      </c>
      <c r="C259" s="32" t="inlineStr">
        <is>
          <t>(206) 241-7930</t>
        </is>
      </c>
      <c r="D259" s="32" t="inlineStr">
        <is>
          <t>Yes</t>
        </is>
      </c>
      <c r="E259" s="32" t="inlineStr">
        <is>
          <t>advancedevergysavers.com (typo domain as listed on Maps)</t>
        </is>
      </c>
      <c r="F259" s="32" t="inlineStr">
        <is>
          <t>Not assessed</t>
        </is>
      </c>
      <c r="G259" s="32" t="inlineStr">
        <is>
          <t>3.4</t>
        </is>
      </c>
      <c r="H259" s="32" t="inlineStr">
        <is>
          <t>5</t>
        </is>
      </c>
      <c r="I259" s="43" t="inlineStr">
        <is>
          <t>Skip</t>
        </is>
      </c>
      <c r="J259" s="32" t="inlineStr">
        <is>
          <t>Daniel Philip Comstock (L&amp;I principal)</t>
        </is>
      </c>
      <c r="K259" s="32" t="inlineStr">
        <is>
          <t>GOLDMINE (36.1-yr license, 1990). Fails 4.0+ star bar (3.4). One-man shop (Dan); multiple reviews cite ignored calls/no callbacks - poor client profile.</t>
        </is>
      </c>
      <c r="L259" s="32" t="inlineStr">
        <is>
          <t>L&amp;I Goldmine triage</t>
        </is>
      </c>
      <c r="M259" s="32" t="inlineStr">
        <is>
          <t>2026-07-02</t>
        </is>
      </c>
    </row>
    <row r="260" ht="43.5" customHeight="1" s="21">
      <c r="A260" s="32" t="inlineStr">
        <is>
          <t>Spokane</t>
        </is>
      </c>
      <c r="B260" s="32" t="inlineStr">
        <is>
          <t>Testcomm LLC</t>
        </is>
      </c>
      <c r="C260" s="32" t="inlineStr">
        <is>
          <t>(509) 533-0498</t>
        </is>
      </c>
      <c r="D260" s="32" t="inlineStr">
        <is>
          <t>Yes</t>
        </is>
      </c>
      <c r="E260" s="32" t="inlineStr">
        <is>
          <t>testcommllc.com</t>
        </is>
      </c>
      <c r="F260" s="32" t="inlineStr">
        <is>
          <t>Not assessed</t>
        </is>
      </c>
      <c r="G260" s="32" t="inlineStr">
        <is>
          <t>5.0</t>
        </is>
      </c>
      <c r="H260" s="32" t="inlineStr">
        <is>
          <t>2</t>
        </is>
      </c>
      <c r="I260" s="43" t="inlineStr">
        <is>
          <t>Skip</t>
        </is>
      </c>
      <c r="J260" s="32" t="inlineStr">
        <is>
          <t>Gerald David Ensiminger (L&amp;I principal)</t>
        </is>
      </c>
      <c r="K260" s="32" t="inlineStr">
        <is>
          <t>GOLDMINE (29.6-yr license, 1996). Category mismatch: GMB category "Professional services" - commercial test &amp; balance, not consumer HVAC. Unclaimed listing.</t>
        </is>
      </c>
      <c r="L260" s="32" t="inlineStr">
        <is>
          <t>L&amp;I Goldmine triage</t>
        </is>
      </c>
      <c r="M260" s="32" t="inlineStr">
        <is>
          <t>2026-07-02</t>
        </is>
      </c>
    </row>
    <row r="261" ht="58" customHeight="1" s="21">
      <c r="A261" s="32" t="inlineStr">
        <is>
          <t>Auburn</t>
        </is>
      </c>
      <c r="B261" s="32" t="inlineStr">
        <is>
          <t>Northwest Comfort Systems</t>
        </is>
      </c>
      <c r="C261" s="32" t="inlineStr">
        <is>
          <t>(253) 735-5236</t>
        </is>
      </c>
      <c r="D261" s="32" t="inlineStr">
        <is>
          <t>Yes</t>
        </is>
      </c>
      <c r="E261" s="32" t="inlineStr">
        <is>
          <t>nwcomfortsystems.com</t>
        </is>
      </c>
      <c r="F261" s="32" t="inlineStr">
        <is>
          <t>Professional</t>
        </is>
      </c>
      <c r="G261" s="32" t="inlineStr">
        <is>
          <t>4.7</t>
        </is>
      </c>
      <c r="H261" s="32" t="inlineStr">
        <is>
          <t>46</t>
        </is>
      </c>
      <c r="I261" s="43" t="inlineStr">
        <is>
          <t>Skip</t>
        </is>
      </c>
      <c r="J261" s="32" t="inlineStr">
        <is>
          <t>Larry Lowell Conner (L&amp;I principal)</t>
        </is>
      </c>
      <c r="K261" s="32" t="inlineStr">
        <is>
          <t>GOLDMINE (27.1-yr license, 1999). Actively managed: owner responds to reviews, photos 8 days old, decades-loyal customers. STEP 24 HEURISTIC - site not deep-verified.</t>
        </is>
      </c>
      <c r="L261" s="32" t="inlineStr">
        <is>
          <t>L&amp;I Goldmine triage</t>
        </is>
      </c>
      <c r="M261" s="32" t="inlineStr">
        <is>
          <t>2026-07-02</t>
        </is>
      </c>
    </row>
    <row r="262" ht="43.5" customHeight="1" s="21">
      <c r="A262" s="32" t="inlineStr">
        <is>
          <t>Seattle</t>
        </is>
      </c>
      <c r="B262" s="32" t="inlineStr">
        <is>
          <t>Sound Oil Company</t>
        </is>
      </c>
      <c r="C262" s="32" t="inlineStr">
        <is>
          <t>(206) 725-6300</t>
        </is>
      </c>
      <c r="D262" s="32" t="inlineStr">
        <is>
          <t>Yes</t>
        </is>
      </c>
      <c r="E262" s="32" t="inlineStr">
        <is>
          <t>soundoil.com</t>
        </is>
      </c>
      <c r="F262" s="32" t="inlineStr">
        <is>
          <t>Not assessed</t>
        </is>
      </c>
      <c r="G262" s="32" t="inlineStr">
        <is>
          <t>3.9</t>
        </is>
      </c>
      <c r="H262" s="32" t="inlineStr">
        <is>
          <t>80</t>
        </is>
      </c>
      <c r="I262" s="43" t="inlineStr">
        <is>
          <t>Skip</t>
        </is>
      </c>
      <c r="J262" s="32" t="inlineStr">
        <is>
          <t>James Franck (L&amp;I principal)</t>
        </is>
      </c>
      <c r="K262" s="32" t="inlineStr">
        <is>
          <t>GOLDMINE (26.6-yr license, 1999). Category mismatch: heating oil supplier (delivery-first), plus fails 4.0 star bar (3.9).</t>
        </is>
      </c>
      <c r="L262" s="32" t="inlineStr">
        <is>
          <t>L&amp;I Goldmine triage</t>
        </is>
      </c>
      <c r="M262" s="32" t="inlineStr">
        <is>
          <t>2026-07-02</t>
        </is>
      </c>
    </row>
    <row r="263" ht="43.5" customHeight="1" s="21">
      <c r="A263" s="32" t="inlineStr">
        <is>
          <t>Richland</t>
        </is>
      </c>
      <c r="B263" s="32" t="inlineStr">
        <is>
          <t>Delta Heating and Cooling Inc</t>
        </is>
      </c>
      <c r="C263" s="32" t="inlineStr">
        <is>
          <t>(509) 943-1092</t>
        </is>
      </c>
      <c r="D263" s="32" t="inlineStr">
        <is>
          <t>Yes</t>
        </is>
      </c>
      <c r="E263" s="32" t="inlineStr">
        <is>
          <t>delta-heating.com</t>
        </is>
      </c>
      <c r="F263" s="32" t="inlineStr">
        <is>
          <t>Professional</t>
        </is>
      </c>
      <c r="G263" s="32" t="inlineStr">
        <is>
          <t>4.3</t>
        </is>
      </c>
      <c r="H263" s="32" t="inlineStr">
        <is>
          <t>82</t>
        </is>
      </c>
      <c r="I263" s="43" t="inlineStr">
        <is>
          <t>Skip</t>
        </is>
      </c>
      <c r="J263" s="32" t="inlineStr">
        <is>
          <t>Glenn Frick (L&amp;I principal)</t>
        </is>
      </c>
      <c r="K263" s="32" t="inlineStr">
        <is>
          <t>GOLDMINE (26.5-yr license, 2000). Actively managed: owner photos 28 days old, 30-yr loyal customers. STEP 24 HEURISTIC - site not deep-verified.</t>
        </is>
      </c>
      <c r="L263" s="32" t="inlineStr">
        <is>
          <t>L&amp;I Goldmine triage</t>
        </is>
      </c>
      <c r="M263" s="32" t="inlineStr">
        <is>
          <t>2026-07-02</t>
        </is>
      </c>
    </row>
    <row r="264" ht="43.5" customHeight="1" s="21">
      <c r="A264" s="32" t="inlineStr">
        <is>
          <t>Federal Way</t>
        </is>
      </c>
      <c r="B264" s="32" t="inlineStr">
        <is>
          <t>K &amp; D Mechanical Inc</t>
        </is>
      </c>
      <c r="C264" s="32" t="inlineStr">
        <is>
          <t>(253) 945-8204</t>
        </is>
      </c>
      <c r="D264" s="32" t="inlineStr">
        <is>
          <t>Yes</t>
        </is>
      </c>
      <c r="E264" s="32" t="inlineStr">
        <is>
          <t>kdmeci.com</t>
        </is>
      </c>
      <c r="F264" s="32" t="inlineStr">
        <is>
          <t>Not assessed</t>
        </is>
      </c>
      <c r="G264" s="32" t="inlineStr">
        <is>
          <t>5.0</t>
        </is>
      </c>
      <c r="H264" s="32" t="inlineStr">
        <is>
          <t>1</t>
        </is>
      </c>
      <c r="I264" s="43" t="inlineStr">
        <is>
          <t>Skip</t>
        </is>
      </c>
      <c r="J264" s="32" t="inlineStr">
        <is>
          <t>Jim Dahlen (L&amp;I principal)</t>
        </is>
      </c>
      <c r="K264" s="32" t="inlineStr">
        <is>
          <t>GOLDMINE (26.4-yr license, 2000). Category mismatch: commercial mechanical contractor (office suite, commercial installs) - not residential consumer HVAC.</t>
        </is>
      </c>
      <c r="L264" s="32" t="inlineStr">
        <is>
          <t>L&amp;I Goldmine triage</t>
        </is>
      </c>
      <c r="M264" s="32" t="inlineStr">
        <is>
          <t>2026-07-02</t>
        </is>
      </c>
    </row>
    <row r="265" ht="58" customHeight="1" s="21">
      <c r="A265" s="32" t="inlineStr">
        <is>
          <t>Seattle</t>
        </is>
      </c>
      <c r="B265" s="32" t="inlineStr">
        <is>
          <t>Glendale Heating &amp; Air Conditioning</t>
        </is>
      </c>
      <c r="C265" s="32" t="inlineStr">
        <is>
          <t>(206) 243-7700</t>
        </is>
      </c>
      <c r="D265" s="32" t="inlineStr">
        <is>
          <t>Yes</t>
        </is>
      </c>
      <c r="E265" s="32" t="inlineStr">
        <is>
          <t>glendaleheating.com</t>
        </is>
      </c>
      <c r="F265" s="32" t="inlineStr">
        <is>
          <t>Professional</t>
        </is>
      </c>
      <c r="G265" s="32" t="inlineStr">
        <is>
          <t>4.8</t>
        </is>
      </c>
      <c r="H265" s="32" t="inlineStr">
        <is>
          <t>700</t>
        </is>
      </c>
      <c r="I265" s="43" t="inlineStr">
        <is>
          <t>Skip</t>
        </is>
      </c>
      <c r="J265" s="32" t="inlineStr">
        <is>
          <t>Gerald Hoefer (L&amp;I principal)</t>
        </is>
      </c>
      <c r="K265" s="32" t="inlineStr">
        <is>
          <t>GOLDMINE (26.4-yr license, 2000; in business since 1938). Heavily managed: Book online, owner GMB post 3 days old, responds to all reviews. Too established. STEP 24 HEURISTIC.</t>
        </is>
      </c>
      <c r="L265" s="32" t="inlineStr">
        <is>
          <t>L&amp;I Goldmine triage</t>
        </is>
      </c>
      <c r="M265" s="32" t="inlineStr">
        <is>
          <t>2026-07-02</t>
        </is>
      </c>
    </row>
    <row r="266" ht="58" customHeight="1" s="21">
      <c r="A266" s="32" t="inlineStr">
        <is>
          <t>Spokane Valley</t>
        </is>
      </c>
      <c r="B266" s="32" t="inlineStr">
        <is>
          <t>McCleary Heating and A/C</t>
        </is>
      </c>
      <c r="C266" s="32" t="inlineStr">
        <is>
          <t>(509) 535-5915</t>
        </is>
      </c>
      <c r="D266" s="32" t="inlineStr">
        <is>
          <t>Yes</t>
        </is>
      </c>
      <c r="E266" s="32" t="inlineStr">
        <is>
          <t>mcclearyheating.com</t>
        </is>
      </c>
      <c r="F266" s="32" t="inlineStr">
        <is>
          <t>Professional</t>
        </is>
      </c>
      <c r="G266" s="32" t="inlineStr">
        <is>
          <t>4.4</t>
        </is>
      </c>
      <c r="H266" s="32" t="inlineStr">
        <is>
          <t>25</t>
        </is>
      </c>
      <c r="I266" s="43" t="inlineStr">
        <is>
          <t>Skip</t>
        </is>
      </c>
      <c r="J266" s="32" t="inlineStr">
        <is>
          <t>Matthew J Maney (L&amp;I principal)</t>
        </is>
      </c>
      <c r="K266" s="32" t="inlineStr">
        <is>
          <t>GOLDMINE (26.4-yr license, 2000). Site VERIFIED by screenshot: modern, clean nav, Book an Appointment button. No pain point. (Not the fake "Reliable HVAC McCleary" from Step 20 - this is a real Spokane Valley shop.)</t>
        </is>
      </c>
      <c r="L266" s="32" t="inlineStr">
        <is>
          <t>L&amp;I Goldmine triage</t>
        </is>
      </c>
      <c r="M266" s="32" t="inlineStr">
        <is>
          <t>2026-07-02</t>
        </is>
      </c>
    </row>
    <row r="267" ht="58" customHeight="1" s="21">
      <c r="A267" s="32" t="inlineStr">
        <is>
          <t>Pullman</t>
        </is>
      </c>
      <c r="B267" s="32" t="inlineStr">
        <is>
          <t>Hilliard's Heating &amp; Plumbing</t>
        </is>
      </c>
      <c r="C267" s="32" t="inlineStr">
        <is>
          <t>(509) 332-5713</t>
        </is>
      </c>
      <c r="D267" s="32" t="inlineStr">
        <is>
          <t>No</t>
        </is>
      </c>
      <c r="E267" s="32" t="inlineStr">
        <is>
          <t>N/A</t>
        </is>
      </c>
      <c r="F267" s="32" t="inlineStr">
        <is>
          <t>N/A</t>
        </is>
      </c>
      <c r="G267" s="32" t="inlineStr">
        <is>
          <t>3.2</t>
        </is>
      </c>
      <c r="H267" s="32" t="inlineStr">
        <is>
          <t>52</t>
        </is>
      </c>
      <c r="I267" s="43" t="inlineStr">
        <is>
          <t>Skip</t>
        </is>
      </c>
      <c r="J267" s="32" t="inlineStr">
        <is>
          <t>Charles S Hilliard (L&amp;I principal)</t>
        </is>
      </c>
      <c r="K267" s="32" t="inlineStr">
        <is>
          <t>GOLDMINE (26.4-yr license, 2000). Fails 4.0 star bar (3.2/52) with real service complaints (rude reception, no appointment system). Unclaimed GMB, no website - pain exists but reputation disqualifies.</t>
        </is>
      </c>
      <c r="L267" s="32" t="inlineStr">
        <is>
          <t>L&amp;I Goldmine triage</t>
        </is>
      </c>
      <c r="M267" s="32" t="inlineStr">
        <is>
          <t>2026-07-02</t>
        </is>
      </c>
    </row>
    <row r="268" ht="43.5" customHeight="1" s="21">
      <c r="A268" s="32" t="inlineStr">
        <is>
          <t>Vancouver</t>
        </is>
      </c>
      <c r="B268" s="32" t="inlineStr">
        <is>
          <t>NW HVAC Service Inc</t>
        </is>
      </c>
      <c r="C268" s="32" t="inlineStr">
        <is>
          <t>(360) 576-9679</t>
        </is>
      </c>
      <c r="D268" s="32" t="inlineStr">
        <is>
          <t>Yes</t>
        </is>
      </c>
      <c r="E268" s="32" t="inlineStr">
        <is>
          <t>nwhvac.net</t>
        </is>
      </c>
      <c r="F268" s="32" t="inlineStr">
        <is>
          <t>Professional</t>
        </is>
      </c>
      <c r="G268" s="32" t="inlineStr">
        <is>
          <t>4.9</t>
        </is>
      </c>
      <c r="H268" s="32" t="inlineStr">
        <is>
          <t>329</t>
        </is>
      </c>
      <c r="I268" s="43" t="inlineStr">
        <is>
          <t>Skip</t>
        </is>
      </c>
      <c r="J268" s="32" t="inlineStr">
        <is>
          <t>Steve Veatch (L&amp;I principal)</t>
        </is>
      </c>
      <c r="K268" s="32" t="inlineStr">
        <is>
          <t>GOLDMINE (26.4-yr license, 2000). Actively managed: owner writes long personal responses to every review. Clark County saturated-metro profile. STEP 24 HEURISTIC.</t>
        </is>
      </c>
      <c r="L268" s="32" t="inlineStr">
        <is>
          <t>L&amp;I Goldmine triage</t>
        </is>
      </c>
      <c r="M268" s="32" t="inlineStr">
        <is>
          <t>2026-07-02</t>
        </is>
      </c>
    </row>
    <row r="269" ht="43.5" customHeight="1" s="21">
      <c r="A269" s="32" t="inlineStr">
        <is>
          <t>Tumwater</t>
        </is>
      </c>
      <c r="B269" s="32" t="inlineStr">
        <is>
          <t>Olympia Sheet Metal Inc</t>
        </is>
      </c>
      <c r="C269" s="32" t="inlineStr">
        <is>
          <t>(360) 491-1123</t>
        </is>
      </c>
      <c r="D269" s="32" t="inlineStr">
        <is>
          <t>Yes</t>
        </is>
      </c>
      <c r="E269" s="32" t="inlineStr">
        <is>
          <t>olympiasheetmetalinc.com</t>
        </is>
      </c>
      <c r="F269" s="32" t="inlineStr">
        <is>
          <t>Not assessed</t>
        </is>
      </c>
      <c r="G269" s="32" t="inlineStr">
        <is>
          <t>4.6</t>
        </is>
      </c>
      <c r="H269" s="32" t="inlineStr">
        <is>
          <t>19</t>
        </is>
      </c>
      <c r="I269" s="43" t="inlineStr">
        <is>
          <t>Skip</t>
        </is>
      </c>
      <c r="J269" s="32" t="inlineStr">
        <is>
          <t>Helga T Rebitzer (L&amp;I principal)</t>
        </is>
      </c>
      <c r="K269" s="32" t="inlineStr">
        <is>
          <t>GOLDMINE (26.4-yr license, 2000). Category mismatch: sheet metal fabrication (custom parts, roof stacks, door plates) - not consumer HVAC.</t>
        </is>
      </c>
      <c r="L269" s="32" t="inlineStr">
        <is>
          <t>L&amp;I Goldmine triage</t>
        </is>
      </c>
      <c r="M269" s="32" t="inlineStr">
        <is>
          <t>2026-07-02</t>
        </is>
      </c>
    </row>
    <row r="270" ht="58" customHeight="1" s="21">
      <c r="A270" s="32" t="inlineStr">
        <is>
          <t>Spokane</t>
        </is>
      </c>
      <c r="B270" s="32" t="inlineStr">
        <is>
          <t>Andrews Mechanical Inc</t>
        </is>
      </c>
      <c r="C270" s="32" t="inlineStr">
        <is>
          <t>(509) 489-3860</t>
        </is>
      </c>
      <c r="D270" s="32" t="inlineStr">
        <is>
          <t>Unknown</t>
        </is>
      </c>
      <c r="E270" s="32" t="inlineStr">
        <is>
          <t>Not checked</t>
        </is>
      </c>
      <c r="F270" s="32" t="inlineStr">
        <is>
          <t>Not assessed</t>
        </is>
      </c>
      <c r="G270" s="32" t="inlineStr">
        <is>
          <t>3.5</t>
        </is>
      </c>
      <c r="H270" s="32" t="inlineStr">
        <is>
          <t>15</t>
        </is>
      </c>
      <c r="I270" s="43" t="inlineStr">
        <is>
          <t>Skip</t>
        </is>
      </c>
      <c r="J270" s="32" t="inlineStr">
        <is>
          <t>Edwin Ii Andrews (L&amp;I principal)</t>
        </is>
      </c>
      <c r="K270" s="32" t="inlineStr">
        <is>
          <t>GOLDMINE (26.3-yr license, 2000). Fails 4.0 star bar - 3.5/15 per PASF data captured on Advanced Mechanical lookup ('open 24/7 for Emergency Service' listing). Low-star path needs 40+ reviews. Not individually visited.</t>
        </is>
      </c>
      <c r="L270" s="32" t="inlineStr">
        <is>
          <t>L&amp;I Goldmine triage</t>
        </is>
      </c>
      <c r="M270" s="32" t="inlineStr">
        <is>
          <t>2026-07-02</t>
        </is>
      </c>
    </row>
    <row r="271" ht="43.5" customHeight="1" s="21">
      <c r="A271" s="32" t="inlineStr">
        <is>
          <t>Bellingham</t>
        </is>
      </c>
      <c r="B271" s="32" t="inlineStr">
        <is>
          <t>Feller Heating &amp; Air Conditioning</t>
        </is>
      </c>
      <c r="C271" s="32" t="inlineStr">
        <is>
          <t>(360) 733-4827</t>
        </is>
      </c>
      <c r="D271" s="32" t="inlineStr">
        <is>
          <t>Yes</t>
        </is>
      </c>
      <c r="E271" s="32" t="inlineStr">
        <is>
          <t>fellerheating.com</t>
        </is>
      </c>
      <c r="F271" s="32" t="inlineStr">
        <is>
          <t>Professional</t>
        </is>
      </c>
      <c r="G271" s="32" t="inlineStr">
        <is>
          <t>4.8</t>
        </is>
      </c>
      <c r="H271" s="32" t="inlineStr">
        <is>
          <t>274</t>
        </is>
      </c>
      <c r="I271" s="43" t="inlineStr">
        <is>
          <t>Skip</t>
        </is>
      </c>
      <c r="J271" s="32" t="inlineStr">
        <is>
          <t>Steve M Felbinger (L&amp;I principal)</t>
        </is>
      </c>
      <c r="K271" s="32" t="inlineStr">
        <is>
          <t>GOLDMINE (26.3-yr license, 2000). Actively managed: Book online button, owner responds to all reviews, photos 16 days old. STEP 24 HEURISTIC.</t>
        </is>
      </c>
      <c r="L271" s="32" t="inlineStr">
        <is>
          <t>L&amp;I Goldmine triage</t>
        </is>
      </c>
      <c r="M271" s="32" t="inlineStr">
        <is>
          <t>2026-07-02</t>
        </is>
      </c>
    </row>
    <row r="272" ht="43.5" customHeight="1" s="21">
      <c r="A272" s="32" t="inlineStr">
        <is>
          <t>Kelso</t>
        </is>
      </c>
      <c r="B272" s="32" t="inlineStr">
        <is>
          <t>Carlson's Heating &amp; Air Conditioning</t>
        </is>
      </c>
      <c r="C272" s="32" t="inlineStr">
        <is>
          <t>(360) 425-4888</t>
        </is>
      </c>
      <c r="D272" s="32" t="inlineStr">
        <is>
          <t>Yes</t>
        </is>
      </c>
      <c r="E272" s="32" t="inlineStr">
        <is>
          <t>carlsonsheating.com</t>
        </is>
      </c>
      <c r="F272" s="32" t="inlineStr">
        <is>
          <t>Professional</t>
        </is>
      </c>
      <c r="G272" s="32" t="inlineStr">
        <is>
          <t>4.4</t>
        </is>
      </c>
      <c r="H272" s="32" t="inlineStr">
        <is>
          <t>81</t>
        </is>
      </c>
      <c r="I272" s="43" t="inlineStr">
        <is>
          <t>Skip</t>
        </is>
      </c>
      <c r="J272" s="32" t="inlineStr">
        <is>
          <t>David Carlson (L&amp;I principal)</t>
        </is>
      </c>
      <c r="K272" s="32" t="inlineStr">
        <is>
          <t>GOLDMINE GEO-T1 (26-yr license, 2000). Actively managed: owner responds to reviews, veteran-owned badge. STEP 24 HEURISTIC.</t>
        </is>
      </c>
      <c r="L272" s="32" t="inlineStr">
        <is>
          <t>L&amp;I Goldmine triage</t>
        </is>
      </c>
      <c r="M272" s="32" t="inlineStr">
        <is>
          <t>2026-07-02</t>
        </is>
      </c>
    </row>
    <row r="273" ht="43.5" customHeight="1" s="21">
      <c r="A273" s="32" t="inlineStr">
        <is>
          <t>Moxee</t>
        </is>
      </c>
      <c r="B273" s="32" t="inlineStr">
        <is>
          <t>Mantey Heating &amp; Air Conditioning</t>
        </is>
      </c>
      <c r="C273" s="32" t="inlineStr">
        <is>
          <t>(509) 575-4328</t>
        </is>
      </c>
      <c r="D273" s="32" t="inlineStr">
        <is>
          <t>No</t>
        </is>
      </c>
      <c r="E273" s="32" t="inlineStr">
        <is>
          <t>N/A</t>
        </is>
      </c>
      <c r="F273" s="32" t="inlineStr">
        <is>
          <t>N/A</t>
        </is>
      </c>
      <c r="G273" s="32" t="inlineStr">
        <is>
          <t>3.0</t>
        </is>
      </c>
      <c r="H273" s="32" t="inlineStr">
        <is>
          <t>1</t>
        </is>
      </c>
      <c r="I273" s="43" t="inlineStr">
        <is>
          <t>Skip</t>
        </is>
      </c>
      <c r="J273" s="32" t="n"/>
      <c r="K273" s="32" t="inlineStr">
        <is>
          <t>GOLDMINE GEO-T1 (26-yr license, 2000). GMB says PERMANENTLY CLOSED despite active L&amp;I license - license lag counter-signal. Do not call.</t>
        </is>
      </c>
      <c r="L273" s="32" t="inlineStr">
        <is>
          <t>L&amp;I Goldmine triage</t>
        </is>
      </c>
      <c r="M273" s="32" t="inlineStr">
        <is>
          <t>2026-07-02</t>
        </is>
      </c>
    </row>
    <row r="274" ht="29" customHeight="1" s="21">
      <c r="A274" s="32" t="inlineStr">
        <is>
          <t>Algona</t>
        </is>
      </c>
      <c r="B274" s="32" t="inlineStr">
        <is>
          <t>Sea-Aire Commercial HVAC</t>
        </is>
      </c>
      <c r="C274" s="32" t="inlineStr">
        <is>
          <t>(206) 575-8051</t>
        </is>
      </c>
      <c r="D274" s="32" t="inlineStr">
        <is>
          <t>Yes</t>
        </is>
      </c>
      <c r="E274" s="32" t="inlineStr">
        <is>
          <t>sea-aire.com</t>
        </is>
      </c>
      <c r="F274" s="32" t="inlineStr">
        <is>
          <t>Not assessed</t>
        </is>
      </c>
      <c r="G274" s="32" t="inlineStr">
        <is>
          <t>4.2</t>
        </is>
      </c>
      <c r="H274" s="32" t="inlineStr">
        <is>
          <t>5</t>
        </is>
      </c>
      <c r="I274" s="43" t="inlineStr">
        <is>
          <t>Skip</t>
        </is>
      </c>
      <c r="J274" s="32" t="inlineStr">
        <is>
          <t>Judy A Mccurry (L&amp;I principal)</t>
        </is>
      </c>
      <c r="K274" s="32" t="inlineStr">
        <is>
          <t>GOLDMINE GEO-T1 (26-yr license, 2000). Category mismatch: commercial-only HVAC (it is in the GMB name).</t>
        </is>
      </c>
      <c r="L274" s="32" t="inlineStr">
        <is>
          <t>L&amp;I Goldmine triage</t>
        </is>
      </c>
      <c r="M274" s="32" t="inlineStr">
        <is>
          <t>2026-07-02</t>
        </is>
      </c>
    </row>
    <row r="275" ht="58" customHeight="1" s="21">
      <c r="A275" s="32" t="inlineStr">
        <is>
          <t>Orting</t>
        </is>
      </c>
      <c r="B275" s="32" t="inlineStr">
        <is>
          <t>Comfort Air Systems</t>
        </is>
      </c>
      <c r="C275" s="32" t="inlineStr">
        <is>
          <t>(360) 463-3758</t>
        </is>
      </c>
      <c r="D275" s="32" t="inlineStr">
        <is>
          <t>Yes</t>
        </is>
      </c>
      <c r="E275" s="32" t="inlineStr">
        <is>
          <t>Has website + Book online</t>
        </is>
      </c>
      <c r="F275" s="32" t="inlineStr">
        <is>
          <t>Not assessed</t>
        </is>
      </c>
      <c r="G275" s="32" t="inlineStr">
        <is>
          <t>5.0</t>
        </is>
      </c>
      <c r="H275" s="32" t="inlineStr">
        <is>
          <t>23</t>
        </is>
      </c>
      <c r="I275" s="43" t="inlineStr">
        <is>
          <t>Skip</t>
        </is>
      </c>
      <c r="J275" s="32" t="inlineStr">
        <is>
          <t>Gerald D Cowan (L&amp;I principal)</t>
        </is>
      </c>
      <c r="K275" s="32" t="inlineStr">
        <is>
          <t>GOLDMINE GEO-T1 (25.5-yr license, 2000). Digitally active: website + Book online integration. STEP 24 HEURISTIC. (Also under 25-review bar; Orting ~9k pop, no small-town path.)</t>
        </is>
      </c>
      <c r="L275" s="32" t="inlineStr">
        <is>
          <t>L&amp;I Goldmine triage</t>
        </is>
      </c>
      <c r="M275" s="32" t="inlineStr">
        <is>
          <t>2026-07-02</t>
        </is>
      </c>
    </row>
    <row r="276" ht="43.5" customHeight="1" s="21">
      <c r="A276" s="32" t="inlineStr">
        <is>
          <t>Tulalip</t>
        </is>
      </c>
      <c r="B276" s="32" t="inlineStr">
        <is>
          <t>Orca Heating and AC</t>
        </is>
      </c>
      <c r="C276" s="32" t="inlineStr">
        <is>
          <t>(425) 508-2484</t>
        </is>
      </c>
      <c r="D276" s="32" t="inlineStr">
        <is>
          <t>Yes</t>
        </is>
      </c>
      <c r="E276" s="32" t="inlineStr">
        <is>
          <t>orcaheatingandair.com</t>
        </is>
      </c>
      <c r="F276" s="32" t="inlineStr">
        <is>
          <t>Not assessed</t>
        </is>
      </c>
      <c r="G276" s="32" t="inlineStr">
        <is>
          <t>5.0</t>
        </is>
      </c>
      <c r="H276" s="32" t="inlineStr">
        <is>
          <t>7</t>
        </is>
      </c>
      <c r="I276" s="43" t="inlineStr">
        <is>
          <t>Skip</t>
        </is>
      </c>
      <c r="J276" s="32" t="n"/>
      <c r="K276" s="32" t="inlineStr">
        <is>
          <t>GOLDMINE GEO-T1 (25.3-yr license, 2001). Digitally VERY active: SEO-styled owner GMB post 21 hours old, responds to reviews. STEP 24 HEURISTIC. | RE-CHECK: L&amp;I "Orca Heating &amp; A/C" (owner Robin Bonner, ph 425-359-9208) phone does NOT match this GMB (425-508-2484) - licensed 2001 business may be a DIFFERENT, invisible operator. Potential hidden Hot.</t>
        </is>
      </c>
      <c r="L276" s="32" t="inlineStr">
        <is>
          <t>L&amp;I Goldmine triage</t>
        </is>
      </c>
      <c r="M276" s="32" t="inlineStr">
        <is>
          <t>2026-07-02</t>
        </is>
      </c>
    </row>
    <row r="277" ht="43.5" customHeight="1" s="21">
      <c r="A277" s="32" t="inlineStr">
        <is>
          <t>Winthrop</t>
        </is>
      </c>
      <c r="B277" s="32" t="inlineStr">
        <is>
          <t>Terry's Appliance Repair</t>
        </is>
      </c>
      <c r="C277" s="32" t="inlineStr">
        <is>
          <t>(509) 996-3741</t>
        </is>
      </c>
      <c r="D277" s="32" t="inlineStr">
        <is>
          <t>No</t>
        </is>
      </c>
      <c r="E277" s="32" t="inlineStr">
        <is>
          <t>N/A</t>
        </is>
      </c>
      <c r="F277" s="32" t="inlineStr">
        <is>
          <t>N/A</t>
        </is>
      </c>
      <c r="G277" s="32" t="inlineStr">
        <is>
          <t>4.0</t>
        </is>
      </c>
      <c r="H277" s="32" t="inlineStr">
        <is>
          <t>2</t>
        </is>
      </c>
      <c r="I277" s="43" t="inlineStr">
        <is>
          <t>Skip</t>
        </is>
      </c>
      <c r="J277" s="32" t="inlineStr">
        <is>
          <t>William Terry Marchiney (L&amp;I principal)</t>
        </is>
      </c>
      <c r="K277" s="32" t="inlineStr">
        <is>
          <t>GOLDMINE GEO-T1 (25-yr license, 2001). Category mismatch: appliance repair (Bosch warranty work), not consumer HVAC despite SM license.</t>
        </is>
      </c>
      <c r="L277" s="32" t="inlineStr">
        <is>
          <t>L&amp;I Goldmine triage</t>
        </is>
      </c>
      <c r="M277" s="32" t="inlineStr">
        <is>
          <t>2026-07-02</t>
        </is>
      </c>
    </row>
    <row r="278" ht="43.5" customHeight="1" s="21">
      <c r="A278" s="32" t="inlineStr">
        <is>
          <t>Shelton</t>
        </is>
      </c>
      <c r="B278" s="32" t="inlineStr">
        <is>
          <t>Olympic Heating &amp; Cooling LLC</t>
        </is>
      </c>
      <c r="C278" s="32" t="inlineStr">
        <is>
          <t>(360) 426-9945</t>
        </is>
      </c>
      <c r="D278" s="32" t="inlineStr">
        <is>
          <t>Yes</t>
        </is>
      </c>
      <c r="E278" s="32" t="inlineStr">
        <is>
          <t>olympicheatingandcooling.com</t>
        </is>
      </c>
      <c r="F278" s="32" t="inlineStr">
        <is>
          <t>Professional</t>
        </is>
      </c>
      <c r="G278" s="32" t="inlineStr">
        <is>
          <t>5.0</t>
        </is>
      </c>
      <c r="H278" s="32" t="inlineStr">
        <is>
          <t>168</t>
        </is>
      </c>
      <c r="I278" s="43" t="inlineStr">
        <is>
          <t>Skip</t>
        </is>
      </c>
      <c r="J278" s="32" t="inlineStr">
        <is>
          <t>Donald R Robbins (L&amp;I principal)</t>
        </is>
      </c>
      <c r="K278" s="32" t="inlineStr">
        <is>
          <t>GOLDMINE GEO-T1 (24.5-yr license, 2001). Actively managed: owner responds to reviews, 5.0/168, dominant local operation. STEP 24 HEURISTIC.</t>
        </is>
      </c>
      <c r="L278" s="32" t="inlineStr">
        <is>
          <t>L&amp;I Goldmine triage</t>
        </is>
      </c>
      <c r="M278" s="32" t="inlineStr">
        <is>
          <t>2026-07-02</t>
        </is>
      </c>
    </row>
    <row r="279" ht="58" customHeight="1" s="21">
      <c r="A279" s="32" t="inlineStr">
        <is>
          <t>Morton</t>
        </is>
      </c>
      <c r="B279" s="32" t="inlineStr">
        <is>
          <t>Allencraft Enterprises</t>
        </is>
      </c>
      <c r="C279" s="32" t="inlineStr">
        <is>
          <t>(360) 496-3244</t>
        </is>
      </c>
      <c r="D279" s="32" t="inlineStr">
        <is>
          <t>No</t>
        </is>
      </c>
      <c r="E279" s="32" t="inlineStr">
        <is>
          <t>N/A</t>
        </is>
      </c>
      <c r="F279" s="32" t="inlineStr">
        <is>
          <t>N/A</t>
        </is>
      </c>
      <c r="G279" s="32" t="inlineStr">
        <is>
          <t>3.7</t>
        </is>
      </c>
      <c r="H279" s="32" t="inlineStr">
        <is>
          <t>3</t>
        </is>
      </c>
      <c r="I279" s="43" t="inlineStr">
        <is>
          <t>Skip</t>
        </is>
      </c>
      <c r="J279" s="32" t="inlineStr">
        <is>
          <t>Sheryl L Allen (L&amp;I principal)</t>
        </is>
      </c>
      <c r="K279" s="32" t="inlineStr">
        <is>
          <t>GOLDMINE GEO-T1. Fails 4.0 bar (3.7/3, low-star path needs 40+). Appliance-repair lean, cash-only, no-cellphone complaints. Unclaimed, no website - pain exists but service reputation disqualifies.</t>
        </is>
      </c>
      <c r="L279" s="32" t="inlineStr">
        <is>
          <t>L&amp;I Goldmine triage</t>
        </is>
      </c>
      <c r="M279" s="32" t="inlineStr">
        <is>
          <t>2026-07-02</t>
        </is>
      </c>
    </row>
    <row r="280" ht="58" customHeight="1" s="21">
      <c r="A280" s="32" t="inlineStr">
        <is>
          <t>Snoqualmie</t>
        </is>
      </c>
      <c r="B280" s="32" t="inlineStr">
        <is>
          <t>All Weather Htg A/C &amp; Rfrg LLC</t>
        </is>
      </c>
      <c r="C280" s="32" t="inlineStr">
        <is>
          <t>(425) 463-9814</t>
        </is>
      </c>
      <c r="D280" s="32" t="inlineStr">
        <is>
          <t>Yes</t>
        </is>
      </c>
      <c r="E280" s="32" t="inlineStr">
        <is>
          <t>Has website</t>
        </is>
      </c>
      <c r="F280" s="32" t="inlineStr">
        <is>
          <t>Professional</t>
        </is>
      </c>
      <c r="G280" s="32" t="inlineStr">
        <is>
          <t>4.9</t>
        </is>
      </c>
      <c r="H280" s="32" t="inlineStr">
        <is>
          <t>423</t>
        </is>
      </c>
      <c r="I280" s="43" t="inlineStr">
        <is>
          <t>Skip</t>
        </is>
      </c>
      <c r="J280" s="32" t="inlineStr">
        <is>
          <t>Scott Leibowitz (L&amp;I principal)</t>
        </is>
      </c>
      <c r="K280" s="32" t="inlineStr">
        <is>
          <t>GOLDMINE GEO-T1 (2006 license, 2 duplicate Goldmine rows). Seen in adjacent search: 4.9/423 with website - large established operation. STEP 24 HEURISTIC, not individually visited.</t>
        </is>
      </c>
      <c r="L280" s="32" t="inlineStr">
        <is>
          <t>L&amp;I Goldmine triage</t>
        </is>
      </c>
      <c r="M280" s="32" t="inlineStr">
        <is>
          <t>2026-07-02</t>
        </is>
      </c>
    </row>
    <row r="281" ht="43.5" customHeight="1" s="21">
      <c r="A281" s="32" t="inlineStr">
        <is>
          <t>Centralia (Rochester)</t>
        </is>
      </c>
      <c r="B281" s="32" t="inlineStr">
        <is>
          <t>Americool Heating &amp; Air Conditioning</t>
        </is>
      </c>
      <c r="C281" s="32" t="inlineStr">
        <is>
          <t>(360) 273-3300</t>
        </is>
      </c>
      <c r="D281" s="32" t="inlineStr">
        <is>
          <t>Yes</t>
        </is>
      </c>
      <c r="E281" s="32" t="inlineStr">
        <is>
          <t>west.americoolonline.com</t>
        </is>
      </c>
      <c r="F281" s="32" t="inlineStr">
        <is>
          <t>Professional</t>
        </is>
      </c>
      <c r="G281" s="32" t="inlineStr">
        <is>
          <t>4.6</t>
        </is>
      </c>
      <c r="H281" s="32" t="inlineStr">
        <is>
          <t>209</t>
        </is>
      </c>
      <c r="I281" s="43" t="inlineStr">
        <is>
          <t>Skip</t>
        </is>
      </c>
      <c r="J281" s="32" t="inlineStr">
        <is>
          <t>Lincoln W Anderson (L&amp;I principal)</t>
        </is>
      </c>
      <c r="K281" s="32" t="inlineStr">
        <is>
          <t>GOLDMINE GEO-T1 (20-yr license, 2006). Actively managed multi-branch: owner responds to all reviews, photos 24 days old. STEP 24 HEURISTIC.</t>
        </is>
      </c>
      <c r="L281" s="32" t="inlineStr">
        <is>
          <t>L&amp;I Goldmine triage</t>
        </is>
      </c>
      <c r="M281" s="32" t="inlineStr">
        <is>
          <t>2026-07-02</t>
        </is>
      </c>
    </row>
    <row r="282" ht="72.5" customHeight="1" s="21">
      <c r="A282" s="32" t="inlineStr">
        <is>
          <t>Entiat</t>
        </is>
      </c>
      <c r="B282" s="32" t="inlineStr">
        <is>
          <t>North Cascades Heating &amp; Air Conditioning Inc</t>
        </is>
      </c>
      <c r="C282" s="32" t="inlineStr">
        <is>
          <t>(509) 784-4822</t>
        </is>
      </c>
      <c r="D282" s="32" t="inlineStr">
        <is>
          <t>Yes</t>
        </is>
      </c>
      <c r="E282" s="32" t="inlineStr">
        <is>
          <t>northcascadesheating.com</t>
        </is>
      </c>
      <c r="F282" s="32" t="inlineStr">
        <is>
          <t>Professional</t>
        </is>
      </c>
      <c r="G282" s="32" t="inlineStr">
        <is>
          <t>4.8</t>
        </is>
      </c>
      <c r="H282" s="32" t="inlineStr">
        <is>
          <t>16</t>
        </is>
      </c>
      <c r="I282" s="43" t="inlineStr">
        <is>
          <t>Skip</t>
        </is>
      </c>
      <c r="J282" s="32" t="inlineStr">
        <is>
          <t>Terry A Keating (L&amp;I principal)</t>
        </is>
      </c>
      <c r="K282" s="32" t="inlineStr">
        <is>
          <t>GOLDMINE GEO-T1 (20.2-yr license, 2006). Qualifies via small-town path (4.8/16, Entiat ~1,200) BUT site VERIFIED modern by screenshot: own drone photography, clean nav, commercial+residential+metal fab. Owner responds to reviews. No pain point.</t>
        </is>
      </c>
      <c r="L282" s="32" t="inlineStr">
        <is>
          <t>L&amp;I Goldmine triage</t>
        </is>
      </c>
      <c r="M282" s="32" t="inlineStr">
        <is>
          <t>2026-07-02</t>
        </is>
      </c>
    </row>
    <row r="283" ht="29" customHeight="1" s="21">
      <c r="A283" s="32" t="inlineStr">
        <is>
          <t>Greenbank</t>
        </is>
      </c>
      <c r="B283" s="32" t="inlineStr">
        <is>
          <t>Whidbey Heating and Stoves LLC</t>
        </is>
      </c>
      <c r="C283" s="32" t="inlineStr">
        <is>
          <t>(360) 661-5376</t>
        </is>
      </c>
      <c r="D283" s="32" t="inlineStr">
        <is>
          <t>Yes</t>
        </is>
      </c>
      <c r="E283" s="32" t="inlineStr">
        <is>
          <t>whidbeystoves.com</t>
        </is>
      </c>
      <c r="F283" s="32" t="inlineStr">
        <is>
          <t>Not assessed</t>
        </is>
      </c>
      <c r="G283" s="32" t="n"/>
      <c r="H283" s="32" t="inlineStr">
        <is>
          <t>0</t>
        </is>
      </c>
      <c r="I283" s="43" t="inlineStr">
        <is>
          <t>Skip</t>
        </is>
      </c>
      <c r="J283" s="32" t="n"/>
      <c r="K283" s="32" t="inlineStr">
        <is>
          <t>GOLDMINE GEO-T1. Category mismatch: fireplace/stove retail store, not consumer HVAC service.</t>
        </is>
      </c>
      <c r="L283" s="32" t="inlineStr">
        <is>
          <t>L&amp;I Goldmine triage</t>
        </is>
      </c>
      <c r="M283" s="32" t="inlineStr">
        <is>
          <t>2026-07-02</t>
        </is>
      </c>
    </row>
    <row r="284" ht="29" customHeight="1" s="21">
      <c r="A284" s="32" t="inlineStr">
        <is>
          <t>Kelso</t>
        </is>
      </c>
      <c r="B284" s="32" t="inlineStr">
        <is>
          <t>Custom Heating &amp; Cooling LLC</t>
        </is>
      </c>
      <c r="C284" s="32" t="inlineStr">
        <is>
          <t>(425) 485-3003</t>
        </is>
      </c>
      <c r="D284" s="32" t="inlineStr">
        <is>
          <t>Unknown</t>
        </is>
      </c>
      <c r="E284" s="32" t="inlineStr">
        <is>
          <t>Not checked</t>
        </is>
      </c>
      <c r="F284" s="32" t="inlineStr">
        <is>
          <t>Not assessed</t>
        </is>
      </c>
      <c r="G284" s="32" t="inlineStr">
        <is>
          <t>2.1</t>
        </is>
      </c>
      <c r="H284" s="32" t="inlineStr">
        <is>
          <t>7</t>
        </is>
      </c>
      <c r="I284" s="43" t="inlineStr">
        <is>
          <t>Skip</t>
        </is>
      </c>
      <c r="J284" s="32" t="n"/>
      <c r="K284" s="32" t="inlineStr">
        <is>
          <t>GOLDMINE. Fails 4.0 star bar - 2.1/7 per PASF data from Carlson's Kelso lookup. Not individually visited.</t>
        </is>
      </c>
      <c r="L284" s="32" t="inlineStr">
        <is>
          <t>L&amp;I Goldmine triage</t>
        </is>
      </c>
      <c r="M284" s="32" t="inlineStr">
        <is>
          <t>2026-07-02</t>
        </is>
      </c>
    </row>
    <row r="285" ht="43.5" customHeight="1" s="21">
      <c r="A285" s="32" t="inlineStr">
        <is>
          <t>Castle Rock</t>
        </is>
      </c>
      <c r="B285" s="32" t="inlineStr">
        <is>
          <t>Denali Heating &amp; Air Conditioning</t>
        </is>
      </c>
      <c r="C285" s="32" t="inlineStr">
        <is>
          <t>(360) 274-8049</t>
        </is>
      </c>
      <c r="D285" s="32" t="inlineStr">
        <is>
          <t>Yes</t>
        </is>
      </c>
      <c r="E285" s="32" t="inlineStr">
        <is>
          <t>denalihvac.com</t>
        </is>
      </c>
      <c r="F285" s="32" t="inlineStr">
        <is>
          <t>Professional</t>
        </is>
      </c>
      <c r="G285" s="32" t="inlineStr">
        <is>
          <t>4.9</t>
        </is>
      </c>
      <c r="H285" s="32" t="inlineStr">
        <is>
          <t>43</t>
        </is>
      </c>
      <c r="I285" s="43" t="inlineStr">
        <is>
          <t>Skip</t>
        </is>
      </c>
      <c r="J285" s="32" t="n"/>
      <c r="K285" s="32" t="inlineStr">
        <is>
          <t>GOLDMINE GEO-T1 (license 2009-03-31). Actively managed: owner responds, real crew named in reviews, healthy listing. STEP 24 HEURISTIC.</t>
        </is>
      </c>
      <c r="L285" s="32" t="inlineStr">
        <is>
          <t>L&amp;I Goldmine triage</t>
        </is>
      </c>
      <c r="M285" s="32" t="inlineStr">
        <is>
          <t>2026-07-02</t>
        </is>
      </c>
    </row>
    <row r="286" ht="43.5" customHeight="1" s="21">
      <c r="A286" s="32" t="inlineStr">
        <is>
          <t>Chewelah</t>
        </is>
      </c>
      <c r="B286" s="32" t="inlineStr">
        <is>
          <t>Systech Mechanical LLC</t>
        </is>
      </c>
      <c r="C286" s="32" t="inlineStr">
        <is>
          <t>(509) 935-4328</t>
        </is>
      </c>
      <c r="D286" s="32" t="inlineStr">
        <is>
          <t>Yes</t>
        </is>
      </c>
      <c r="E286" s="32" t="inlineStr">
        <is>
          <t>systechmechanical.com</t>
        </is>
      </c>
      <c r="F286" s="32" t="inlineStr">
        <is>
          <t>Professional</t>
        </is>
      </c>
      <c r="G286" s="32" t="inlineStr">
        <is>
          <t>4.7</t>
        </is>
      </c>
      <c r="H286" s="32" t="inlineStr">
        <is>
          <t>56</t>
        </is>
      </c>
      <c r="I286" s="43" t="inlineStr">
        <is>
          <t>Skip</t>
        </is>
      </c>
      <c r="J286" s="32" t="n"/>
      <c r="K286" s="32" t="inlineStr">
        <is>
          <t>GOLDMINE GEO-T1 (license 2010-04-23). Actively managed: owner Jim writes personal responses to every review. STEP 24 HEURISTIC.</t>
        </is>
      </c>
      <c r="L286" s="32" t="inlineStr">
        <is>
          <t>L&amp;I Goldmine triage</t>
        </is>
      </c>
      <c r="M286" s="32" t="inlineStr">
        <is>
          <t>2026-07-02</t>
        </is>
      </c>
    </row>
    <row r="287" ht="43.5" customHeight="1" s="21">
      <c r="A287" s="32" t="inlineStr">
        <is>
          <t>Woodland</t>
        </is>
      </c>
      <c r="B287" s="32" t="inlineStr">
        <is>
          <t>Rawhide Electric Services</t>
        </is>
      </c>
      <c r="C287" s="32" t="inlineStr">
        <is>
          <t>(360) 553-0237</t>
        </is>
      </c>
      <c r="D287" s="32" t="inlineStr">
        <is>
          <t>Yes</t>
        </is>
      </c>
      <c r="E287" s="32" t="inlineStr">
        <is>
          <t>rawhideelectric.com</t>
        </is>
      </c>
      <c r="F287" s="32" t="inlineStr">
        <is>
          <t>Professional</t>
        </is>
      </c>
      <c r="G287" s="32" t="inlineStr">
        <is>
          <t>4.7</t>
        </is>
      </c>
      <c r="H287" s="32" t="inlineStr">
        <is>
          <t>204</t>
        </is>
      </c>
      <c r="I287" s="43" t="inlineStr">
        <is>
          <t>Skip</t>
        </is>
      </c>
      <c r="J287" s="32" t="n"/>
      <c r="K287" s="32" t="inlineStr">
        <is>
          <t>GOLDMINE GEO-T1 (license 2010-12-03). Category mismatch: electrician-primary (does heat pumps as sideline). Actively managed, owner responds. STEP 24.</t>
        </is>
      </c>
      <c r="L287" s="32" t="inlineStr">
        <is>
          <t>L&amp;I Goldmine triage</t>
        </is>
      </c>
      <c r="M287" s="32" t="inlineStr">
        <is>
          <t>2026-07-02</t>
        </is>
      </c>
    </row>
    <row r="288" ht="43.5" customHeight="1" s="21">
      <c r="A288" s="32" t="inlineStr">
        <is>
          <t>Bow</t>
        </is>
      </c>
      <c r="B288" s="32" t="inlineStr">
        <is>
          <t>Testing &amp; Comm. Services LLC</t>
        </is>
      </c>
      <c r="C288" s="32" t="inlineStr">
        <is>
          <t>(360) 224-8555</t>
        </is>
      </c>
      <c r="D288" s="32" t="inlineStr">
        <is>
          <t>Unknown</t>
        </is>
      </c>
      <c r="E288" s="32" t="inlineStr">
        <is>
          <t>Not checked</t>
        </is>
      </c>
      <c r="F288" s="32" t="inlineStr">
        <is>
          <t>Not assessed</t>
        </is>
      </c>
      <c r="G288" s="32" t="n"/>
      <c r="H288" s="32" t="n"/>
      <c r="I288" s="43" t="inlineStr">
        <is>
          <t>Skip</t>
        </is>
      </c>
      <c r="J288" s="32" t="n"/>
      <c r="K288" s="32" t="inlineStr">
        <is>
          <t>GOLDMINE. Category mismatch by name: commercial testing &amp; commissioning (same pattern as Testcomm Spokane). NAME PRE-FILTER - not individually visited.</t>
        </is>
      </c>
      <c r="L288" s="32" t="inlineStr">
        <is>
          <t>L&amp;I Goldmine triage</t>
        </is>
      </c>
      <c r="M288" s="32" t="inlineStr">
        <is>
          <t>2026-07-02</t>
        </is>
      </c>
    </row>
    <row r="289" ht="43.5" customHeight="1" s="21">
      <c r="A289" s="32" t="inlineStr">
        <is>
          <t>Grandview</t>
        </is>
      </c>
      <c r="B289" s="32" t="inlineStr">
        <is>
          <t>Kollmar Inc</t>
        </is>
      </c>
      <c r="C289" s="32" t="inlineStr">
        <is>
          <t>(509) 882-3148</t>
        </is>
      </c>
      <c r="D289" s="32" t="inlineStr">
        <is>
          <t>Yes</t>
        </is>
      </c>
      <c r="E289" s="32" t="inlineStr">
        <is>
          <t>kollmar.us</t>
        </is>
      </c>
      <c r="F289" s="32" t="inlineStr">
        <is>
          <t>Not assessed</t>
        </is>
      </c>
      <c r="G289" s="32" t="inlineStr">
        <is>
          <t>5.0</t>
        </is>
      </c>
      <c r="H289" s="32" t="inlineStr">
        <is>
          <t>5</t>
        </is>
      </c>
      <c r="I289" s="43" t="inlineStr">
        <is>
          <t>Skip</t>
        </is>
      </c>
      <c r="J289" s="32" t="inlineStr">
        <is>
          <t>Sharon Kollmar (L&amp;I principal)</t>
        </is>
      </c>
      <c r="K289" s="32" t="inlineStr">
        <is>
          <t>GOLDMINE T2 (license 2000-02-28). Category mismatch: custom metal fabrication (stainless/aluminum/steel, industrial drying systems) - not consumer HVAC.</t>
        </is>
      </c>
      <c r="L289" s="32" t="inlineStr">
        <is>
          <t>L&amp;I Goldmine triage</t>
        </is>
      </c>
      <c r="M289" s="32" t="inlineStr">
        <is>
          <t>2026-07-02</t>
        </is>
      </c>
    </row>
    <row r="290" ht="58" customHeight="1" s="21">
      <c r="A290" s="32" t="inlineStr">
        <is>
          <t>Spokane</t>
        </is>
      </c>
      <c r="B290" s="32" t="inlineStr">
        <is>
          <t>Moser Inc</t>
        </is>
      </c>
      <c r="C290" s="32" t="inlineStr">
        <is>
          <t>(509) 747-0950</t>
        </is>
      </c>
      <c r="D290" s="32" t="inlineStr">
        <is>
          <t>Yes</t>
        </is>
      </c>
      <c r="E290" s="32" t="inlineStr">
        <is>
          <t>moserheat.com</t>
        </is>
      </c>
      <c r="F290" s="32" t="inlineStr">
        <is>
          <t>OK - decent</t>
        </is>
      </c>
      <c r="G290" s="32" t="inlineStr">
        <is>
          <t>5.0</t>
        </is>
      </c>
      <c r="H290" s="32" t="inlineStr">
        <is>
          <t>25</t>
        </is>
      </c>
      <c r="I290" s="43" t="inlineStr">
        <is>
          <t>Skip</t>
        </is>
      </c>
      <c r="J290" s="32" t="inlineStr">
        <is>
          <t>Arliss Luttermoser (L&amp;I principal)</t>
        </is>
      </c>
      <c r="K290" s="32" t="inlineStr">
        <is>
          <t>GOLDMINE T2 (license 2000-02-28). Radiant/boiler specialist, 30+ yrs. Site verified by screenshot: functional, own radiant-floor photography, clean nav, domain email. VP Cory responds to reviews. No pain point.</t>
        </is>
      </c>
      <c r="L290" s="32" t="inlineStr">
        <is>
          <t>L&amp;I Goldmine triage</t>
        </is>
      </c>
      <c r="M290" s="32" t="inlineStr">
        <is>
          <t>2026-07-02</t>
        </is>
      </c>
    </row>
    <row r="291" ht="43.5" customHeight="1" s="21">
      <c r="A291" s="32" t="inlineStr">
        <is>
          <t>Spokane</t>
        </is>
      </c>
      <c r="B291" s="32" t="inlineStr">
        <is>
          <t>Swanson's Refrigeration / Restaurant Repair</t>
        </is>
      </c>
      <c r="C291" s="32" t="inlineStr">
        <is>
          <t>(509) 998-2870</t>
        </is>
      </c>
      <c r="D291" s="32" t="inlineStr">
        <is>
          <t>Unknown</t>
        </is>
      </c>
      <c r="E291" s="32" t="inlineStr">
        <is>
          <t>Not checked</t>
        </is>
      </c>
      <c r="F291" s="32" t="inlineStr">
        <is>
          <t>Not assessed</t>
        </is>
      </c>
      <c r="G291" s="32" t="n"/>
      <c r="H291" s="32" t="n"/>
      <c r="I291" s="43" t="inlineStr">
        <is>
          <t>Skip</t>
        </is>
      </c>
      <c r="J291" s="32" t="inlineStr">
        <is>
          <t>Terry Swanson (L&amp;I principal)</t>
        </is>
      </c>
      <c r="K291" s="32" t="inlineStr">
        <is>
          <t>GOLDMINE T2. Category mismatch by name: commercial restaurant equipment repair. NAME PRE-FILTER - not individually visited.</t>
        </is>
      </c>
      <c r="L291" s="32" t="inlineStr">
        <is>
          <t>L&amp;I Goldmine triage</t>
        </is>
      </c>
      <c r="M291" s="32" t="inlineStr">
        <is>
          <t>2026-07-02</t>
        </is>
      </c>
    </row>
    <row r="292" ht="29" customHeight="1" s="21">
      <c r="A292" s="32" t="inlineStr">
        <is>
          <t>Moses Lake</t>
        </is>
      </c>
      <c r="B292" s="32" t="inlineStr">
        <is>
          <t>Polhamus Heating &amp; AC Inc</t>
        </is>
      </c>
      <c r="C292" s="32" t="inlineStr">
        <is>
          <t>(509) 765-8524</t>
        </is>
      </c>
      <c r="D292" s="32" t="inlineStr">
        <is>
          <t>Yes</t>
        </is>
      </c>
      <c r="E292" s="32" t="inlineStr">
        <is>
          <t>polhamusheating.com</t>
        </is>
      </c>
      <c r="F292" s="32" t="inlineStr">
        <is>
          <t>Professional</t>
        </is>
      </c>
      <c r="G292" s="32" t="inlineStr">
        <is>
          <t>4.5</t>
        </is>
      </c>
      <c r="H292" s="32" t="inlineStr">
        <is>
          <t>74</t>
        </is>
      </c>
      <c r="I292" s="43" t="inlineStr">
        <is>
          <t>Skip</t>
        </is>
      </c>
      <c r="J292" s="32" t="inlineStr">
        <is>
          <t>Greco Signorelli (L&amp;I principal)</t>
        </is>
      </c>
      <c r="K292" s="32" t="inlineStr">
        <is>
          <t>GOLDMINE T2 (license 2000-03-06). Actively managed Trane dealer: owner responds to reviews. STEP 24 HEURISTIC.</t>
        </is>
      </c>
      <c r="L292" s="32" t="inlineStr">
        <is>
          <t>L&amp;I Goldmine triage</t>
        </is>
      </c>
      <c r="M292" s="32" t="inlineStr">
        <is>
          <t>2026-07-02</t>
        </is>
      </c>
    </row>
    <row r="293" ht="43.5" customHeight="1" s="21">
      <c r="A293" s="32" t="inlineStr">
        <is>
          <t>Yakima</t>
        </is>
      </c>
      <c r="B293" s="32" t="inlineStr">
        <is>
          <t>Farwest Climate Control Inc</t>
        </is>
      </c>
      <c r="C293" s="32" t="inlineStr">
        <is>
          <t>(509) 457-5346</t>
        </is>
      </c>
      <c r="D293" s="32" t="inlineStr">
        <is>
          <t>Yes</t>
        </is>
      </c>
      <c r="E293" s="32" t="inlineStr">
        <is>
          <t>farwestclimatecontrol.com</t>
        </is>
      </c>
      <c r="F293" s="32" t="inlineStr">
        <is>
          <t>Professional</t>
        </is>
      </c>
      <c r="G293" s="32" t="inlineStr">
        <is>
          <t>4.9</t>
        </is>
      </c>
      <c r="H293" s="32" t="inlineStr">
        <is>
          <t>507</t>
        </is>
      </c>
      <c r="I293" s="43" t="inlineStr">
        <is>
          <t>Skip</t>
        </is>
      </c>
      <c r="J293" s="32" t="inlineStr">
        <is>
          <t>Burton Charles Ross (L&amp;I principal)</t>
        </is>
      </c>
      <c r="K293" s="32" t="inlineStr">
        <is>
          <t>GOLDMINE T2 (license 2001-01-02). Heavily managed: Book online, 507 reviews, photos 17 days old. STEP 24 HEURISTIC.</t>
        </is>
      </c>
      <c r="L293" s="32" t="inlineStr">
        <is>
          <t>L&amp;I Goldmine triage</t>
        </is>
      </c>
      <c r="M293" s="32" t="inlineStr">
        <is>
          <t>2026-07-02</t>
        </is>
      </c>
    </row>
    <row r="294" ht="43.5" customHeight="1" s="21">
      <c r="A294" s="32" t="inlineStr">
        <is>
          <t>Longview</t>
        </is>
      </c>
      <c r="B294" s="32" t="inlineStr">
        <is>
          <t>Feltons Heating &amp; Cooling Inc</t>
        </is>
      </c>
      <c r="C294" s="32" t="inlineStr">
        <is>
          <t>(360) 577-5871</t>
        </is>
      </c>
      <c r="D294" s="32" t="inlineStr">
        <is>
          <t>Yes</t>
        </is>
      </c>
      <c r="E294" s="32" t="inlineStr">
        <is>
          <t>Has website</t>
        </is>
      </c>
      <c r="F294" s="32" t="inlineStr">
        <is>
          <t>Not assessed</t>
        </is>
      </c>
      <c r="G294" s="32" t="inlineStr">
        <is>
          <t>4.6</t>
        </is>
      </c>
      <c r="H294" s="32" t="inlineStr">
        <is>
          <t>58</t>
        </is>
      </c>
      <c r="I294" s="43" t="inlineStr">
        <is>
          <t>Skip</t>
        </is>
      </c>
      <c r="J294" s="32" t="inlineStr">
        <is>
          <t>Al Felton (L&amp;I principal)</t>
        </is>
      </c>
      <c r="K294" s="32" t="inlineStr">
        <is>
          <t>GOLDMINE T2 (license 2001-04-04). Settled from Kelso-area PASF data: 4.6/58 with website button. STEP 24 HEURISTIC - not individually visited.</t>
        </is>
      </c>
      <c r="L294" s="32" t="inlineStr">
        <is>
          <t>L&amp;I Goldmine triage</t>
        </is>
      </c>
      <c r="M294" s="32" t="inlineStr">
        <is>
          <t>2026-07-02</t>
        </is>
      </c>
    </row>
    <row r="295" ht="43.5" customHeight="1" s="21">
      <c r="A295" s="32" t="inlineStr">
        <is>
          <t>Bellingham</t>
        </is>
      </c>
      <c r="B295" s="32" t="inlineStr">
        <is>
          <t>Northwest Energy Systems of Washington Inc</t>
        </is>
      </c>
      <c r="C295" s="32" t="inlineStr">
        <is>
          <t>(360) 734-4328</t>
        </is>
      </c>
      <c r="D295" s="32" t="inlineStr">
        <is>
          <t>Yes</t>
        </is>
      </c>
      <c r="E295" s="32" t="inlineStr">
        <is>
          <t>northwestenergy.com</t>
        </is>
      </c>
      <c r="F295" s="32" t="inlineStr">
        <is>
          <t>Professional</t>
        </is>
      </c>
      <c r="G295" s="32" t="inlineStr">
        <is>
          <t>4.3</t>
        </is>
      </c>
      <c r="H295" s="32" t="inlineStr">
        <is>
          <t>58</t>
        </is>
      </c>
      <c r="I295" s="43" t="inlineStr">
        <is>
          <t>Skip</t>
        </is>
      </c>
      <c r="J295" s="32" t="inlineStr">
        <is>
          <t>Daniel J Olson (L&amp;I principal)</t>
        </is>
      </c>
      <c r="K295" s="32" t="inlineStr">
        <is>
          <t>GOLDMINE T2 (license 2002-02-28). Actively managed: owner responds to every review within weeks. STEP 24 HEURISTIC.</t>
        </is>
      </c>
      <c r="L295" s="32" t="inlineStr">
        <is>
          <t>L&amp;I Goldmine triage</t>
        </is>
      </c>
      <c r="M295" s="32" t="inlineStr">
        <is>
          <t>2026-07-02</t>
        </is>
      </c>
    </row>
    <row r="296" ht="43.5" customHeight="1" s="21">
      <c r="A296" s="32" t="inlineStr">
        <is>
          <t>Yakima</t>
        </is>
      </c>
      <c r="B296" s="32" t="inlineStr">
        <is>
          <t>Northwest Refrigeration Contractors Inc</t>
        </is>
      </c>
      <c r="C296" s="32" t="inlineStr">
        <is>
          <t>(509) 248-9588</t>
        </is>
      </c>
      <c r="D296" s="32" t="inlineStr">
        <is>
          <t>Unknown</t>
        </is>
      </c>
      <c r="E296" s="32" t="inlineStr">
        <is>
          <t>Not checked</t>
        </is>
      </c>
      <c r="F296" s="32" t="inlineStr">
        <is>
          <t>Not assessed</t>
        </is>
      </c>
      <c r="G296" s="32" t="n"/>
      <c r="H296" s="32" t="n"/>
      <c r="I296" s="43" t="inlineStr">
        <is>
          <t>Skip</t>
        </is>
      </c>
      <c r="J296" s="32" t="inlineStr">
        <is>
          <t>Wayne F Gohl Jr (L&amp;I principal)</t>
        </is>
      </c>
      <c r="K296" s="32" t="inlineStr">
        <is>
          <t>GOLDMINE T2. Category mismatch by name: commercial refrigeration contractors. NAME PRE-FILTER - not individually visited.</t>
        </is>
      </c>
      <c r="L296" s="32" t="inlineStr">
        <is>
          <t>L&amp;I Goldmine triage</t>
        </is>
      </c>
      <c r="M296" s="32" t="inlineStr">
        <is>
          <t>2026-07-02</t>
        </is>
      </c>
    </row>
    <row r="297" ht="43.5" customHeight="1" s="21">
      <c r="A297" s="32" t="inlineStr">
        <is>
          <t>Yakima</t>
        </is>
      </c>
      <c r="B297" s="32" t="inlineStr">
        <is>
          <t>Thermex Valley Heating &amp; AC</t>
        </is>
      </c>
      <c r="C297" s="32" t="inlineStr">
        <is>
          <t>(509) 965-0630</t>
        </is>
      </c>
      <c r="D297" s="32" t="inlineStr">
        <is>
          <t>Yes</t>
        </is>
      </c>
      <c r="E297" s="32" t="inlineStr">
        <is>
          <t>thermexvalley.com</t>
        </is>
      </c>
      <c r="F297" s="32" t="inlineStr">
        <is>
          <t>Not assessed</t>
        </is>
      </c>
      <c r="G297" s="32" t="inlineStr">
        <is>
          <t>2.1</t>
        </is>
      </c>
      <c r="H297" s="32" t="inlineStr">
        <is>
          <t>19</t>
        </is>
      </c>
      <c r="I297" s="43" t="inlineStr">
        <is>
          <t>Skip</t>
        </is>
      </c>
      <c r="J297" s="32" t="inlineStr">
        <is>
          <t>Mark Troianello (L&amp;I principal)</t>
        </is>
      </c>
      <c r="K297" s="32" t="inlineStr">
        <is>
          <t>GOLDMINE T2 (license 2003-03-04). Fails 4.0 star bar badly (2.1/19) - severe service complaints (home-warranty work, rudeness). Not a client to want.</t>
        </is>
      </c>
      <c r="L297" s="32" t="inlineStr">
        <is>
          <t>L&amp;I Goldmine triage</t>
        </is>
      </c>
      <c r="M297" s="32" t="inlineStr">
        <is>
          <t>2026-07-02</t>
        </is>
      </c>
    </row>
    <row r="298" ht="43.5" customHeight="1" s="21">
      <c r="A298" s="32" t="inlineStr">
        <is>
          <t>Snohomish (serves Seattle)</t>
        </is>
      </c>
      <c r="B298" s="32" t="inlineStr">
        <is>
          <t>Carlson Mechanical</t>
        </is>
      </c>
      <c r="C298" s="32" t="inlineStr">
        <is>
          <t>(206) 533-0685</t>
        </is>
      </c>
      <c r="D298" s="32" t="inlineStr">
        <is>
          <t>Yes</t>
        </is>
      </c>
      <c r="E298" s="32" t="inlineStr">
        <is>
          <t>carlsonmech.com</t>
        </is>
      </c>
      <c r="F298" s="32" t="inlineStr">
        <is>
          <t>Professional</t>
        </is>
      </c>
      <c r="G298" s="32" t="inlineStr">
        <is>
          <t>4.9</t>
        </is>
      </c>
      <c r="H298" s="32" t="inlineStr">
        <is>
          <t>26</t>
        </is>
      </c>
      <c r="I298" s="43" t="inlineStr">
        <is>
          <t>Skip</t>
        </is>
      </c>
      <c r="J298" s="32" t="inlineStr">
        <is>
          <t>Mark B Lee (L&amp;I principal)</t>
        </is>
      </c>
      <c r="K298" s="32" t="inlineStr">
        <is>
          <t>GOLDMINE T2 (license 2006-01-03). Boiler/tankless specialist, actively managed (owner responds, office staff Marissa). STEP 24.</t>
        </is>
      </c>
      <c r="L298" s="32" t="inlineStr">
        <is>
          <t>L&amp;I Goldmine triage</t>
        </is>
      </c>
      <c r="M298" s="32" t="inlineStr">
        <is>
          <t>2026-07-02</t>
        </is>
      </c>
    </row>
    <row r="299" ht="43.5" customHeight="1" s="21">
      <c r="A299" s="32" t="inlineStr">
        <is>
          <t>Aberdeen</t>
        </is>
      </c>
      <c r="B299" s="32" t="inlineStr">
        <is>
          <t>Airwest</t>
        </is>
      </c>
      <c r="C299" s="32" t="inlineStr">
        <is>
          <t>(360) 648-2020</t>
        </is>
      </c>
      <c r="D299" s="32" t="inlineStr">
        <is>
          <t>No</t>
        </is>
      </c>
      <c r="E299" s="32" t="inlineStr">
        <is>
          <t>N/A</t>
        </is>
      </c>
      <c r="F299" s="32" t="inlineStr">
        <is>
          <t>N/A</t>
        </is>
      </c>
      <c r="G299" s="32" t="n"/>
      <c r="H299" s="32" t="n"/>
      <c r="I299" s="43" t="inlineStr">
        <is>
          <t>Skip</t>
        </is>
      </c>
      <c r="J299" s="32" t="n"/>
      <c r="K299" s="32" t="inlineStr">
        <is>
          <t>GOLDMINE T2 (license 2006-06-14). GMB says PERMANENTLY CLOSED despite active license (Mantey pattern). Do not call.</t>
        </is>
      </c>
      <c r="L299" s="32" t="inlineStr">
        <is>
          <t>L&amp;I Goldmine triage</t>
        </is>
      </c>
      <c r="M299" s="32" t="inlineStr">
        <is>
          <t>2026-07-02</t>
        </is>
      </c>
    </row>
    <row r="300" ht="29" customHeight="1" s="21">
      <c r="A300" s="32" t="inlineStr">
        <is>
          <t>Spokane Valley</t>
        </is>
      </c>
      <c r="B300" s="32" t="inlineStr">
        <is>
          <t>Ductvac Northwest LLC</t>
        </is>
      </c>
      <c r="C300" s="32" t="n"/>
      <c r="D300" s="32" t="inlineStr">
        <is>
          <t>Unknown</t>
        </is>
      </c>
      <c r="E300" s="32" t="inlineStr">
        <is>
          <t>Not checked</t>
        </is>
      </c>
      <c r="F300" s="32" t="inlineStr">
        <is>
          <t>Not assessed</t>
        </is>
      </c>
      <c r="G300" s="32" t="n"/>
      <c r="H300" s="32" t="n"/>
      <c r="I300" s="43" t="inlineStr">
        <is>
          <t>Skip</t>
        </is>
      </c>
      <c r="J300" s="32" t="n"/>
      <c r="K300" s="32" t="inlineStr">
        <is>
          <t>GOLDMINE. Category mismatch by name: duct cleaning service. NAME PRE-FILTER - not individually visited.</t>
        </is>
      </c>
      <c r="L300" s="32" t="inlineStr">
        <is>
          <t>L&amp;I Goldmine triage</t>
        </is>
      </c>
      <c r="M300" s="32" t="inlineStr">
        <is>
          <t>2026-07-02</t>
        </is>
      </c>
    </row>
    <row r="301" ht="29" customHeight="1" s="21">
      <c r="A301" s="32" t="inlineStr">
        <is>
          <t>Richland</t>
        </is>
      </c>
      <c r="B301" s="32" t="inlineStr">
        <is>
          <t>Pringles Power Vac Inc</t>
        </is>
      </c>
      <c r="C301" s="32" t="n"/>
      <c r="D301" s="32" t="inlineStr">
        <is>
          <t>Unknown</t>
        </is>
      </c>
      <c r="E301" s="32" t="inlineStr">
        <is>
          <t>Not checked</t>
        </is>
      </c>
      <c r="F301" s="32" t="inlineStr">
        <is>
          <t>Not assessed</t>
        </is>
      </c>
      <c r="G301" s="32" t="n"/>
      <c r="H301" s="32" t="n"/>
      <c r="I301" s="43" t="inlineStr">
        <is>
          <t>Skip</t>
        </is>
      </c>
      <c r="J301" s="32" t="n"/>
      <c r="K301" s="32" t="inlineStr">
        <is>
          <t>GOLDMINE. Category mismatch by name: power-vac duct cleaning. NAME PRE-FILTER - not individually visited.</t>
        </is>
      </c>
      <c r="L301" s="32" t="inlineStr">
        <is>
          <t>L&amp;I Goldmine triage</t>
        </is>
      </c>
      <c r="M301" s="32" t="inlineStr">
        <is>
          <t>2026-07-02</t>
        </is>
      </c>
    </row>
    <row r="302" ht="29" customHeight="1" s="21">
      <c r="A302" s="32" t="inlineStr">
        <is>
          <t>Marysville</t>
        </is>
      </c>
      <c r="B302" s="32" t="inlineStr">
        <is>
          <t>Air Ductors Inc</t>
        </is>
      </c>
      <c r="C302" s="32" t="inlineStr">
        <is>
          <t>(800) 970-3828</t>
        </is>
      </c>
      <c r="D302" s="32" t="inlineStr">
        <is>
          <t>Unknown</t>
        </is>
      </c>
      <c r="E302" s="32" t="inlineStr">
        <is>
          <t>Not checked</t>
        </is>
      </c>
      <c r="F302" s="32" t="inlineStr">
        <is>
          <t>Not assessed</t>
        </is>
      </c>
      <c r="G302" s="32" t="n"/>
      <c r="H302" s="32" t="n"/>
      <c r="I302" s="43" t="inlineStr">
        <is>
          <t>Skip</t>
        </is>
      </c>
      <c r="J302" s="32" t="n"/>
      <c r="K302" s="32" t="inlineStr">
        <is>
          <t>GOLDMINE. Category mismatch by name: duct cleaning. NAME PRE-FILTER - not individually visited.</t>
        </is>
      </c>
      <c r="L302" s="32" t="inlineStr">
        <is>
          <t>L&amp;I Goldmine triage</t>
        </is>
      </c>
      <c r="M302" s="32" t="inlineStr">
        <is>
          <t>2026-07-02</t>
        </is>
      </c>
    </row>
    <row r="303" ht="43.5" customHeight="1" s="21">
      <c r="A303" s="32" t="inlineStr">
        <is>
          <t>Yakima</t>
        </is>
      </c>
      <c r="B303" s="32" t="inlineStr">
        <is>
          <t>Central Washington Refrigeration</t>
        </is>
      </c>
      <c r="C303" s="32" t="inlineStr">
        <is>
          <t>(509) 248-4600</t>
        </is>
      </c>
      <c r="D303" s="32" t="inlineStr">
        <is>
          <t>Yes</t>
        </is>
      </c>
      <c r="E303" s="32" t="inlineStr">
        <is>
          <t>cwrcentral.com</t>
        </is>
      </c>
      <c r="F303" s="32" t="inlineStr">
        <is>
          <t>Professional</t>
        </is>
      </c>
      <c r="G303" s="32" t="inlineStr">
        <is>
          <t>4.9</t>
        </is>
      </c>
      <c r="H303" s="32" t="inlineStr">
        <is>
          <t>9</t>
        </is>
      </c>
      <c r="I303" s="43" t="inlineStr">
        <is>
          <t>Skip</t>
        </is>
      </c>
      <c r="J303" s="32" t="n"/>
      <c r="K303" s="32" t="inlineStr">
        <is>
          <t>GOLDMINE T2 (license 2007-06-28). Category mismatch: INDUSTRIAL refrigeration (own GMB post: "industrial refrigeration solutions"). Actively managed.</t>
        </is>
      </c>
      <c r="L303" s="32" t="inlineStr">
        <is>
          <t>L&amp;I Goldmine triage</t>
        </is>
      </c>
      <c r="M303" s="32" t="inlineStr">
        <is>
          <t>2026-07-02</t>
        </is>
      </c>
    </row>
    <row r="304" ht="29" customHeight="1" s="21">
      <c r="A304" s="32" t="inlineStr">
        <is>
          <t>Buckley</t>
        </is>
      </c>
      <c r="B304" s="32" t="inlineStr">
        <is>
          <t>Hagen Industrial Refrigeration LLC</t>
        </is>
      </c>
      <c r="C304" s="32" t="inlineStr">
        <is>
          <t>(206) 790-6111</t>
        </is>
      </c>
      <c r="D304" s="32" t="inlineStr">
        <is>
          <t>Unknown</t>
        </is>
      </c>
      <c r="E304" s="32" t="inlineStr">
        <is>
          <t>Not checked</t>
        </is>
      </c>
      <c r="F304" s="32" t="inlineStr">
        <is>
          <t>Not assessed</t>
        </is>
      </c>
      <c r="G304" s="32" t="n"/>
      <c r="H304" s="32" t="n"/>
      <c r="I304" s="43" t="inlineStr">
        <is>
          <t>Skip</t>
        </is>
      </c>
      <c r="J304" s="32" t="n"/>
      <c r="K304" s="32" t="inlineStr">
        <is>
          <t>GOLDMINE. Category mismatch by name: INDUSTRIAL refrigeration. NAME PRE-FILTER - not individually visited.</t>
        </is>
      </c>
      <c r="L304" s="32" t="inlineStr">
        <is>
          <t>L&amp;I Goldmine triage</t>
        </is>
      </c>
      <c r="M304" s="32" t="inlineStr">
        <is>
          <t>2026-07-02</t>
        </is>
      </c>
    </row>
    <row r="305" ht="43.5" customHeight="1" s="21">
      <c r="A305" s="32" t="inlineStr">
        <is>
          <t>Aberdeen</t>
        </is>
      </c>
      <c r="B305" s="32" t="inlineStr">
        <is>
          <t>Harbor Commercial Refrigeration</t>
        </is>
      </c>
      <c r="C305" s="32" t="inlineStr">
        <is>
          <t>(360) 503-3030</t>
        </is>
      </c>
      <c r="D305" s="32" t="inlineStr">
        <is>
          <t>No</t>
        </is>
      </c>
      <c r="E305" s="32" t="inlineStr">
        <is>
          <t>N/A</t>
        </is>
      </c>
      <c r="F305" s="32" t="inlineStr">
        <is>
          <t>N/A</t>
        </is>
      </c>
      <c r="G305" s="32" t="inlineStr">
        <is>
          <t>5.0</t>
        </is>
      </c>
      <c r="H305" s="32" t="inlineStr">
        <is>
          <t>2</t>
        </is>
      </c>
      <c r="I305" s="43" t="inlineStr">
        <is>
          <t>Skip</t>
        </is>
      </c>
      <c r="J305" s="32" t="n"/>
      <c r="K305" s="32" t="inlineStr">
        <is>
          <t>GOLDMINE T1 (license 2010-07-02). GMB PERMANENTLY CLOSED (3rd Mantey-pattern case). Commercial refrigeration anyway. Do not call.</t>
        </is>
      </c>
      <c r="L305" s="32" t="inlineStr">
        <is>
          <t>L&amp;I Goldmine triage</t>
        </is>
      </c>
      <c r="M305" s="32" t="inlineStr">
        <is>
          <t>2026-07-02</t>
        </is>
      </c>
    </row>
    <row r="306" ht="72.5" customHeight="1" s="21">
      <c r="A306" s="32" t="inlineStr">
        <is>
          <t>Monroe</t>
        </is>
      </c>
      <c r="B306" s="32" t="inlineStr">
        <is>
          <t>B &amp; C Comfort LLC (operates with/as Monroe Fireplace Inc)</t>
        </is>
      </c>
      <c r="C306" s="32" t="inlineStr">
        <is>
          <t>(360) 794-8024</t>
        </is>
      </c>
      <c r="D306" s="32" t="inlineStr">
        <is>
          <t>Yes</t>
        </is>
      </c>
      <c r="E306" s="32" t="inlineStr">
        <is>
          <t>monroefireplace.com</t>
        </is>
      </c>
      <c r="F306" s="32" t="inlineStr">
        <is>
          <t>Not assessed</t>
        </is>
      </c>
      <c r="G306" s="32" t="inlineStr">
        <is>
          <t>4.3</t>
        </is>
      </c>
      <c r="H306" s="32" t="inlineStr">
        <is>
          <t>133</t>
        </is>
      </c>
      <c r="I306" s="43" t="inlineStr">
        <is>
          <t>Skip</t>
        </is>
      </c>
      <c r="J306" s="32" t="n"/>
      <c r="K306" s="32" t="inlineStr">
        <is>
          <t>GOLDMINE T2 (license 2011-04-15). Maps resolves to Monroe Fireplace (fireplace RETAIL store, 4.3/133, working site); a customer review inside that listing thanks "B&amp;C" - same operation. Category mismatch: fireplace retail.</t>
        </is>
      </c>
      <c r="L306" s="32" t="inlineStr">
        <is>
          <t>L&amp;I Goldmine triage</t>
        </is>
      </c>
      <c r="M306" s="32" t="inlineStr">
        <is>
          <t>2026-07-02</t>
        </is>
      </c>
    </row>
    <row r="307" ht="29" customHeight="1" s="21">
      <c r="A307" s="32" t="inlineStr">
        <is>
          <t>Monroe</t>
        </is>
      </c>
      <c r="B307" s="32" t="inlineStr">
        <is>
          <t>Precise Heating and Cooling LLC</t>
        </is>
      </c>
      <c r="C307" s="32" t="inlineStr">
        <is>
          <t>(206) 861-2525</t>
        </is>
      </c>
      <c r="D307" s="32" t="inlineStr">
        <is>
          <t>Yes</t>
        </is>
      </c>
      <c r="E307" s="32" t="inlineStr">
        <is>
          <t>precise-hvac.com</t>
        </is>
      </c>
      <c r="F307" s="32" t="inlineStr">
        <is>
          <t>Not assessed</t>
        </is>
      </c>
      <c r="G307" s="32" t="inlineStr">
        <is>
          <t>3.4</t>
        </is>
      </c>
      <c r="H307" s="32" t="inlineStr">
        <is>
          <t>5</t>
        </is>
      </c>
      <c r="I307" s="43" t="inlineStr">
        <is>
          <t>Skip</t>
        </is>
      </c>
      <c r="J307" s="32" t="n"/>
      <c r="K307" s="32" t="inlineStr">
        <is>
          <t>GOLDMINE T2 (license 2011-06-29). Fails 4.0 star bar (3.4/5, incl. reckless-driver complaint).</t>
        </is>
      </c>
      <c r="L307" s="32" t="inlineStr">
        <is>
          <t>L&amp;I Goldmine triage</t>
        </is>
      </c>
      <c r="M307" s="32" t="inlineStr">
        <is>
          <t>2026-07-02</t>
        </is>
      </c>
    </row>
    <row r="308" ht="43.5" customHeight="1" s="21">
      <c r="A308" s="32" t="inlineStr">
        <is>
          <t>Seattle</t>
        </is>
      </c>
      <c r="B308" s="32" t="inlineStr">
        <is>
          <t>Pro-Staff Mechanical Inc</t>
        </is>
      </c>
      <c r="C308" s="32" t="inlineStr">
        <is>
          <t>(206) 361-0071</t>
        </is>
      </c>
      <c r="D308" s="32" t="inlineStr">
        <is>
          <t>Yes</t>
        </is>
      </c>
      <c r="E308" s="32" t="inlineStr">
        <is>
          <t>pro-staffmechanical.com</t>
        </is>
      </c>
      <c r="F308" s="32" t="inlineStr">
        <is>
          <t>Not assessed</t>
        </is>
      </c>
      <c r="G308" s="32" t="inlineStr">
        <is>
          <t>5.0</t>
        </is>
      </c>
      <c r="H308" s="32" t="inlineStr">
        <is>
          <t>10</t>
        </is>
      </c>
      <c r="I308" s="43" t="inlineStr">
        <is>
          <t>Skip</t>
        </is>
      </c>
      <c r="J308" s="32" t="inlineStr">
        <is>
          <t>Leonard Almo (L&amp;I principal)</t>
        </is>
      </c>
      <c r="K308" s="32" t="inlineStr">
        <is>
          <t>GOLDMINE T3 (license 2000-02-28). Commercial focus (property-management preferred vendor per reviews). Metro Seattle.</t>
        </is>
      </c>
      <c r="L308" s="32" t="inlineStr">
        <is>
          <t>L&amp;I Goldmine triage</t>
        </is>
      </c>
      <c r="M308" s="32" t="inlineStr">
        <is>
          <t>2026-07-02</t>
        </is>
      </c>
    </row>
    <row r="309" ht="43.5" customHeight="1" s="21">
      <c r="A309" s="32" t="inlineStr">
        <is>
          <t>Tacoma</t>
        </is>
      </c>
      <c r="B309" s="32" t="inlineStr">
        <is>
          <t>Indoor Comfort Systems Inc</t>
        </is>
      </c>
      <c r="C309" s="32" t="inlineStr">
        <is>
          <t>(253) 539-1424</t>
        </is>
      </c>
      <c r="D309" s="32" t="inlineStr">
        <is>
          <t>Yes</t>
        </is>
      </c>
      <c r="E309" s="32" t="inlineStr">
        <is>
          <t>Has website</t>
        </is>
      </c>
      <c r="F309" s="32" t="inlineStr">
        <is>
          <t>Not assessed</t>
        </is>
      </c>
      <c r="G309" s="32" t="inlineStr">
        <is>
          <t>3.0</t>
        </is>
      </c>
      <c r="H309" s="32" t="inlineStr">
        <is>
          <t>4</t>
        </is>
      </c>
      <c r="I309" s="43" t="inlineStr">
        <is>
          <t>Skip</t>
        </is>
      </c>
      <c r="J309" s="32" t="inlineStr">
        <is>
          <t>Richard L Lauritzen (L&amp;I principal)</t>
        </is>
      </c>
      <c r="K309" s="32" t="inlineStr">
        <is>
          <t>GOLDMINE T3 (license 2000-03-02). PASF settle (Orting search): 3.0/4 - fails star bar. Not individually visited.</t>
        </is>
      </c>
      <c r="L309" s="32" t="inlineStr">
        <is>
          <t>L&amp;I Goldmine triage</t>
        </is>
      </c>
      <c r="M309" s="32" t="inlineStr">
        <is>
          <t>2026-07-02</t>
        </is>
      </c>
    </row>
    <row r="310" ht="29" customHeight="1" s="21">
      <c r="A310" s="32" t="inlineStr">
        <is>
          <t>Vancouver</t>
        </is>
      </c>
      <c r="B310" s="32" t="inlineStr">
        <is>
          <t>Advantage Heating &amp; Cooling</t>
        </is>
      </c>
      <c r="C310" s="32" t="inlineStr">
        <is>
          <t>(360) 693-5220</t>
        </is>
      </c>
      <c r="D310" s="32" t="inlineStr">
        <is>
          <t>Yes</t>
        </is>
      </c>
      <c r="E310" s="32" t="inlineStr">
        <is>
          <t>advantagehcp.com</t>
        </is>
      </c>
      <c r="F310" s="32" t="inlineStr">
        <is>
          <t>Professional</t>
        </is>
      </c>
      <c r="G310" s="32" t="inlineStr">
        <is>
          <t>4.9</t>
        </is>
      </c>
      <c r="H310" s="32" t="inlineStr">
        <is>
          <t>207</t>
        </is>
      </c>
      <c r="I310" s="43" t="inlineStr">
        <is>
          <t>Skip</t>
        </is>
      </c>
      <c r="J310" s="32" t="inlineStr">
        <is>
          <t>Veronica Kay Hart (L&amp;I principal)</t>
        </is>
      </c>
      <c r="K310" s="32" t="inlineStr">
        <is>
          <t>GOLDMINE T3 (license 2000-03-01). Actively managed, owner responds. Clark Co metro. STEP 24.</t>
        </is>
      </c>
      <c r="L310" s="32" t="inlineStr">
        <is>
          <t>L&amp;I Goldmine triage</t>
        </is>
      </c>
      <c r="M310" s="32" t="inlineStr">
        <is>
          <t>2026-07-02</t>
        </is>
      </c>
    </row>
    <row r="311" ht="43.5" customHeight="1" s="21">
      <c r="A311" s="32" t="inlineStr">
        <is>
          <t>Lynnwood</t>
        </is>
      </c>
      <c r="B311" s="32" t="inlineStr">
        <is>
          <t>Day &amp; Nite Plumbing &amp; Heating Inc</t>
        </is>
      </c>
      <c r="C311" s="32" t="inlineStr">
        <is>
          <t>(425) 678-6026</t>
        </is>
      </c>
      <c r="D311" s="32" t="inlineStr">
        <is>
          <t>Yes</t>
        </is>
      </c>
      <c r="E311" s="32" t="inlineStr">
        <is>
          <t>dayandnite.net</t>
        </is>
      </c>
      <c r="F311" s="32" t="inlineStr">
        <is>
          <t>Professional</t>
        </is>
      </c>
      <c r="G311" s="32" t="inlineStr">
        <is>
          <t>4.8</t>
        </is>
      </c>
      <c r="H311" s="32" t="inlineStr">
        <is>
          <t>1773</t>
        </is>
      </c>
      <c r="I311" s="43" t="inlineStr">
        <is>
          <t>Skip</t>
        </is>
      </c>
      <c r="J311" s="32" t="inlineStr">
        <is>
          <t>Bruce A Davis Sr (L&amp;I principal)</t>
        </is>
      </c>
      <c r="K311" s="32" t="inlineStr">
        <is>
          <t>GOLDMINE T3 (license 2000-03-01). 1,773 reviews, GMB post 3 days old - large managed operation in confirmed-saturated Lynnwood. STEP 24.</t>
        </is>
      </c>
      <c r="L311" s="32" t="inlineStr">
        <is>
          <t>L&amp;I Goldmine triage</t>
        </is>
      </c>
      <c r="M311" s="32" t="inlineStr">
        <is>
          <t>2026-07-02</t>
        </is>
      </c>
    </row>
    <row r="312" ht="43.5" customHeight="1" s="21">
      <c r="A312" s="32" t="inlineStr">
        <is>
          <t>Mukilteo</t>
        </is>
      </c>
      <c r="B312" s="32" t="inlineStr">
        <is>
          <t>Janes Company Inc (Janes Radiant Heating)</t>
        </is>
      </c>
      <c r="C312" s="32" t="inlineStr">
        <is>
          <t>(800) 974-5884</t>
        </is>
      </c>
      <c r="D312" s="32" t="inlineStr">
        <is>
          <t>Yes</t>
        </is>
      </c>
      <c r="E312" s="32" t="inlineStr">
        <is>
          <t>janescompany.com</t>
        </is>
      </c>
      <c r="F312" s="32" t="inlineStr">
        <is>
          <t>Professional</t>
        </is>
      </c>
      <c r="G312" s="32" t="inlineStr">
        <is>
          <t>4.7</t>
        </is>
      </c>
      <c r="H312" s="32" t="inlineStr">
        <is>
          <t>395</t>
        </is>
      </c>
      <c r="I312" s="43" t="inlineStr">
        <is>
          <t>Skip</t>
        </is>
      </c>
      <c r="J312" s="32" t="inlineStr">
        <is>
          <t>Michael Janes (L&amp;I principal)</t>
        </is>
      </c>
      <c r="K312" s="32" t="inlineStr">
        <is>
          <t>GOLDMINE T3 (license 2000-03-01). Actively managed (GMB posts, responds to all reviews). Known player - was a PASF source in early rounds. STEP 24.</t>
        </is>
      </c>
      <c r="L312" s="32" t="inlineStr">
        <is>
          <t>L&amp;I Goldmine triage</t>
        </is>
      </c>
      <c r="M312" s="32" t="inlineStr">
        <is>
          <t>2026-07-02</t>
        </is>
      </c>
    </row>
    <row r="313" ht="43.5" customHeight="1" s="21">
      <c r="A313" s="32" t="inlineStr">
        <is>
          <t>Vancouver</t>
        </is>
      </c>
      <c r="B313" s="32" t="inlineStr">
        <is>
          <t>All Seasons Heating &amp; Cooling Inc</t>
        </is>
      </c>
      <c r="C313" s="32" t="inlineStr">
        <is>
          <t>(360) 944-7611</t>
        </is>
      </c>
      <c r="D313" s="32" t="inlineStr">
        <is>
          <t>Yes</t>
        </is>
      </c>
      <c r="E313" s="32" t="inlineStr">
        <is>
          <t>Has website</t>
        </is>
      </c>
      <c r="F313" s="32" t="inlineStr">
        <is>
          <t>Professional</t>
        </is>
      </c>
      <c r="G313" s="32" t="inlineStr">
        <is>
          <t>4.9</t>
        </is>
      </c>
      <c r="H313" s="32" t="inlineStr">
        <is>
          <t>326</t>
        </is>
      </c>
      <c r="I313" s="43" t="inlineStr">
        <is>
          <t>Skip</t>
        </is>
      </c>
      <c r="J313" s="32" t="inlineStr">
        <is>
          <t>William P Ross (L&amp;I principal)</t>
        </is>
      </c>
      <c r="K313" s="32" t="inlineStr">
        <is>
          <t>GOLDMINE T3 (license 2000-03-03). PASF settle (NW HVAC lookup): 4.9/326 with website. STEP 24 - not individually visited.</t>
        </is>
      </c>
      <c r="L313" s="32" t="inlineStr">
        <is>
          <t>L&amp;I Goldmine triage</t>
        </is>
      </c>
      <c r="M313" s="32" t="inlineStr">
        <is>
          <t>2026-07-02</t>
        </is>
      </c>
    </row>
    <row r="314" ht="29" customHeight="1" s="21">
      <c r="A314" s="32" t="inlineStr">
        <is>
          <t>Vancouver</t>
        </is>
      </c>
      <c r="B314" s="32" t="inlineStr">
        <is>
          <t>Blairco Heating &amp; Air Conditioning</t>
        </is>
      </c>
      <c r="C314" s="32" t="inlineStr">
        <is>
          <t>(360) 695-1476</t>
        </is>
      </c>
      <c r="D314" s="32" t="inlineStr">
        <is>
          <t>Yes</t>
        </is>
      </c>
      <c r="E314" s="32" t="inlineStr">
        <is>
          <t>blaircoheating.com</t>
        </is>
      </c>
      <c r="F314" s="32" t="inlineStr">
        <is>
          <t>Professional</t>
        </is>
      </c>
      <c r="G314" s="32" t="inlineStr">
        <is>
          <t>4.8</t>
        </is>
      </c>
      <c r="H314" s="32" t="inlineStr">
        <is>
          <t>393</t>
        </is>
      </c>
      <c r="I314" s="43" t="inlineStr">
        <is>
          <t>Skip</t>
        </is>
      </c>
      <c r="J314" s="32" t="inlineStr">
        <is>
          <t>Joseph S Blair (L&amp;I principal)</t>
        </is>
      </c>
      <c r="K314" s="32" t="inlineStr">
        <is>
          <t>GOLDMINE T3 (license 2000-03-03). Actively managed (owner responds, photos 29 days). Clark Co metro. STEP 24.</t>
        </is>
      </c>
      <c r="L314" s="32" t="inlineStr">
        <is>
          <t>L&amp;I Goldmine triage</t>
        </is>
      </c>
      <c r="M314" s="32" t="inlineStr">
        <is>
          <t>2026-07-02</t>
        </is>
      </c>
    </row>
    <row r="315" ht="43.5" customHeight="1" s="21">
      <c r="A315" s="32" t="inlineStr">
        <is>
          <t>Vancouver</t>
        </is>
      </c>
      <c r="B315" s="32" t="inlineStr">
        <is>
          <t>Home Energy Group Inc Heating and Cooling</t>
        </is>
      </c>
      <c r="C315" s="32" t="inlineStr">
        <is>
          <t>(360) 944-8616</t>
        </is>
      </c>
      <c r="D315" s="32" t="inlineStr">
        <is>
          <t>Yes</t>
        </is>
      </c>
      <c r="E315" s="32" t="inlineStr">
        <is>
          <t>Has website</t>
        </is>
      </c>
      <c r="F315" s="32" t="inlineStr">
        <is>
          <t>Professional</t>
        </is>
      </c>
      <c r="G315" s="32" t="inlineStr">
        <is>
          <t>4.9</t>
        </is>
      </c>
      <c r="H315" s="32" t="inlineStr">
        <is>
          <t>101</t>
        </is>
      </c>
      <c r="I315" s="43" t="inlineStr">
        <is>
          <t>Skip</t>
        </is>
      </c>
      <c r="J315" s="32" t="inlineStr">
        <is>
          <t>Brian Wrigley (L&amp;I principal)</t>
        </is>
      </c>
      <c r="K315" s="32" t="inlineStr">
        <is>
          <t>GOLDMINE T3 (license 2001-04-17). Healthy managed listing 4.9/101 (old second listing marked closed - just an address move). STEP 24.</t>
        </is>
      </c>
      <c r="L315" s="32" t="inlineStr">
        <is>
          <t>L&amp;I Goldmine triage</t>
        </is>
      </c>
      <c r="M315" s="32" t="inlineStr">
        <is>
          <t>2026-07-02</t>
        </is>
      </c>
    </row>
    <row r="316" ht="43.5" customHeight="1" s="21">
      <c r="A316" s="32" t="inlineStr">
        <is>
          <t>Covington</t>
        </is>
      </c>
      <c r="B316" s="32" t="inlineStr">
        <is>
          <t>Precision Air Services</t>
        </is>
      </c>
      <c r="C316" s="32" t="inlineStr">
        <is>
          <t>(253) 631-8826</t>
        </is>
      </c>
      <c r="D316" s="32" t="inlineStr">
        <is>
          <t>Yes</t>
        </is>
      </c>
      <c r="E316" s="32" t="inlineStr">
        <is>
          <t>precisionair.services</t>
        </is>
      </c>
      <c r="F316" s="32" t="inlineStr">
        <is>
          <t>Professional</t>
        </is>
      </c>
      <c r="G316" s="32" t="inlineStr">
        <is>
          <t>4.9</t>
        </is>
      </c>
      <c r="H316" s="32" t="inlineStr">
        <is>
          <t>154</t>
        </is>
      </c>
      <c r="I316" s="43" t="inlineStr">
        <is>
          <t>Skip</t>
        </is>
      </c>
      <c r="J316" s="32" t="inlineStr">
        <is>
          <t>Bruce Rankin (L&amp;I principal, named in reviews)</t>
        </is>
      </c>
      <c r="K316" s="32" t="inlineStr">
        <is>
          <t>GOLDMINE T3 (license 2001-06-08). Actively managed: Book online, marketing GMB posts, owner responds. STEP 24.</t>
        </is>
      </c>
      <c r="L316" s="32" t="inlineStr">
        <is>
          <t>L&amp;I Goldmine triage</t>
        </is>
      </c>
      <c r="M316" s="32" t="inlineStr">
        <is>
          <t>2026-07-02</t>
        </is>
      </c>
    </row>
    <row r="317" ht="43.5" customHeight="1" s="21">
      <c r="A317" s="32" t="inlineStr">
        <is>
          <t>Puyallup (Kent)</t>
        </is>
      </c>
      <c r="B317" s="32" t="inlineStr">
        <is>
          <t>East Hill Heating &amp; Cooling</t>
        </is>
      </c>
      <c r="C317" s="32" t="inlineStr">
        <is>
          <t>(253) 854-4444</t>
        </is>
      </c>
      <c r="D317" s="32" t="inlineStr">
        <is>
          <t>Yes</t>
        </is>
      </c>
      <c r="E317" s="32" t="inlineStr">
        <is>
          <t>easthill.com</t>
        </is>
      </c>
      <c r="F317" s="32" t="inlineStr">
        <is>
          <t>Professional</t>
        </is>
      </c>
      <c r="G317" s="32" t="inlineStr">
        <is>
          <t>4.9</t>
        </is>
      </c>
      <c r="H317" s="32" t="inlineStr">
        <is>
          <t>58</t>
        </is>
      </c>
      <c r="I317" s="43" t="inlineStr">
        <is>
          <t>Skip</t>
        </is>
      </c>
      <c r="J317" s="32" t="inlineStr">
        <is>
          <t>Douglas E Phillips (L&amp;I principal; Doug &amp; Christy in reviews)</t>
        </is>
      </c>
      <c r="K317" s="32" t="inlineStr">
        <is>
          <t>GOLDMINE T3 (license 2002-09-16). Actively managed: GMB posts, owner responds, women-owned badge. STEP 24.</t>
        </is>
      </c>
      <c r="L317" s="32" t="inlineStr">
        <is>
          <t>L&amp;I Goldmine triage</t>
        </is>
      </c>
      <c r="M317" s="32" t="inlineStr">
        <is>
          <t>2026-07-02</t>
        </is>
      </c>
    </row>
    <row r="318" ht="43.5" customHeight="1" s="21">
      <c r="A318" s="32" t="inlineStr">
        <is>
          <t>Bellevue</t>
        </is>
      </c>
      <c r="B318" s="32" t="inlineStr">
        <is>
          <t>Alpha Heating &amp; Air Conditioning</t>
        </is>
      </c>
      <c r="C318" s="32" t="inlineStr">
        <is>
          <t>(425) 643-0368</t>
        </is>
      </c>
      <c r="D318" s="32" t="inlineStr">
        <is>
          <t>Yes</t>
        </is>
      </c>
      <c r="E318" s="32" t="inlineStr">
        <is>
          <t>alphaheatandac.com</t>
        </is>
      </c>
      <c r="F318" s="32" t="inlineStr">
        <is>
          <t>Not assessed</t>
        </is>
      </c>
      <c r="G318" s="32" t="inlineStr">
        <is>
          <t>3.6</t>
        </is>
      </c>
      <c r="H318" s="32" t="inlineStr">
        <is>
          <t>38</t>
        </is>
      </c>
      <c r="I318" s="43" t="inlineStr">
        <is>
          <t>Skip</t>
        </is>
      </c>
      <c r="J318" s="32" t="inlineStr">
        <is>
          <t>Raya J Tobia (L&amp;I principal)</t>
        </is>
      </c>
      <c r="K318" s="32" t="inlineStr">
        <is>
          <t>GOLDMINE T3 (2 dup rows). Fails 4.0 star bar (3.6/38); home-warranty dispatch complaints (AHS). Low-star path needs 40+ AND no website - has one.</t>
        </is>
      </c>
      <c r="L318" s="32" t="inlineStr">
        <is>
          <t>L&amp;I Goldmine triage</t>
        </is>
      </c>
      <c r="M318" s="32" t="inlineStr">
        <is>
          <t>2026-07-02</t>
        </is>
      </c>
    </row>
    <row r="319" ht="43.5" customHeight="1" s="21">
      <c r="A319" s="32" t="inlineStr">
        <is>
          <t>Redmond</t>
        </is>
      </c>
      <c r="B319" s="32" t="inlineStr">
        <is>
          <t>Automated Building Control Specialists LLC</t>
        </is>
      </c>
      <c r="C319" s="32" t="inlineStr">
        <is>
          <t>(425) 823-6300</t>
        </is>
      </c>
      <c r="D319" s="32" t="inlineStr">
        <is>
          <t>Unknown</t>
        </is>
      </c>
      <c r="E319" s="32" t="inlineStr">
        <is>
          <t>Not checked</t>
        </is>
      </c>
      <c r="F319" s="32" t="inlineStr">
        <is>
          <t>Not assessed</t>
        </is>
      </c>
      <c r="G319" s="32" t="n"/>
      <c r="H319" s="32" t="n"/>
      <c r="I319" s="43" t="inlineStr">
        <is>
          <t>Skip</t>
        </is>
      </c>
      <c r="J319" s="32" t="inlineStr">
        <is>
          <t>Kevin Martin Baxter (L&amp;I principal)</t>
        </is>
      </c>
      <c r="K319" s="32" t="inlineStr">
        <is>
          <t>GOLDMINE T3. Category mismatch by name: commercial building automation/controls. NAME PRE-FILTER - not individually visited.</t>
        </is>
      </c>
      <c r="L319" s="32" t="inlineStr">
        <is>
          <t>L&amp;I Goldmine triage</t>
        </is>
      </c>
      <c r="M319" s="32" t="inlineStr">
        <is>
          <t>2026-07-02</t>
        </is>
      </c>
    </row>
    <row r="320" ht="43.5" customHeight="1" s="21">
      <c r="A320" s="32" t="inlineStr">
        <is>
          <t>Lynnwood</t>
        </is>
      </c>
      <c r="B320" s="32" t="inlineStr">
        <is>
          <t>Even Flo Heating And Air Conditioning Inc</t>
        </is>
      </c>
      <c r="C320" s="32" t="inlineStr">
        <is>
          <t>(425) 381-0400</t>
        </is>
      </c>
      <c r="D320" s="32" t="inlineStr">
        <is>
          <t>Yes</t>
        </is>
      </c>
      <c r="E320" s="32" t="inlineStr">
        <is>
          <t>evenfloheating.com</t>
        </is>
      </c>
      <c r="F320" s="32" t="inlineStr">
        <is>
          <t>Professional</t>
        </is>
      </c>
      <c r="G320" s="32" t="inlineStr">
        <is>
          <t>4.7</t>
        </is>
      </c>
      <c r="H320" s="32" t="inlineStr">
        <is>
          <t>69</t>
        </is>
      </c>
      <c r="I320" s="43" t="inlineStr">
        <is>
          <t>Skip</t>
        </is>
      </c>
      <c r="J320" s="32" t="inlineStr">
        <is>
          <t>Alan A Puerschner (L&amp;I principal)</t>
        </is>
      </c>
      <c r="K320" s="32" t="inlineStr">
        <is>
          <t>GOLDMINE T3 (license 2004-07-27). Digitally active: pricing-tool integration (pictureperfectpricing.com) + site. Saturated Lynnwood. STEP 24.</t>
        </is>
      </c>
      <c r="L320" s="32" t="inlineStr">
        <is>
          <t>L&amp;I Goldmine triage</t>
        </is>
      </c>
      <c r="M320" s="32" t="inlineStr">
        <is>
          <t>2026-07-02</t>
        </is>
      </c>
    </row>
    <row r="321" ht="29" customHeight="1" s="21">
      <c r="A321" s="32" t="inlineStr">
        <is>
          <t>Kirkland</t>
        </is>
      </c>
      <c r="B321" s="32" t="inlineStr">
        <is>
          <t>Pacific One Construction Inc</t>
        </is>
      </c>
      <c r="C321" s="32" t="inlineStr">
        <is>
          <t>(425) 869-0373</t>
        </is>
      </c>
      <c r="D321" s="32" t="inlineStr">
        <is>
          <t>Unknown</t>
        </is>
      </c>
      <c r="E321" s="32" t="inlineStr">
        <is>
          <t>Not checked</t>
        </is>
      </c>
      <c r="F321" s="32" t="inlineStr">
        <is>
          <t>Not assessed</t>
        </is>
      </c>
      <c r="G321" s="32" t="n"/>
      <c r="H321" s="32" t="n"/>
      <c r="I321" s="43" t="inlineStr">
        <is>
          <t>Skip</t>
        </is>
      </c>
      <c r="J321" s="32" t="inlineStr">
        <is>
          <t>Kyle Patrick Lipe (L&amp;I principal)</t>
        </is>
      </c>
      <c r="K321" s="32" t="inlineStr">
        <is>
          <t>GOLDMINE T3. Category mismatch by name: general construction. NAME PRE-FILTER - not individually visited.</t>
        </is>
      </c>
      <c r="L321" s="32" t="inlineStr">
        <is>
          <t>L&amp;I Goldmine triage</t>
        </is>
      </c>
      <c r="M321" s="32" t="inlineStr">
        <is>
          <t>2026-07-02</t>
        </is>
      </c>
    </row>
    <row r="322" ht="43.5" customHeight="1" s="21">
      <c r="A322" s="32" t="inlineStr">
        <is>
          <t>Auburn</t>
        </is>
      </c>
      <c r="B322" s="32" t="inlineStr">
        <is>
          <t>Auburn Mechanical</t>
        </is>
      </c>
      <c r="C322" s="32" t="inlineStr">
        <is>
          <t>(253) 838-9780</t>
        </is>
      </c>
      <c r="D322" s="32" t="inlineStr">
        <is>
          <t>Yes</t>
        </is>
      </c>
      <c r="E322" s="32" t="inlineStr">
        <is>
          <t>auburnmechanical.com</t>
        </is>
      </c>
      <c r="F322" s="32" t="inlineStr">
        <is>
          <t>Not assessed</t>
        </is>
      </c>
      <c r="G322" s="32" t="inlineStr">
        <is>
          <t>3.6</t>
        </is>
      </c>
      <c r="H322" s="32" t="inlineStr">
        <is>
          <t>28</t>
        </is>
      </c>
      <c r="I322" s="43" t="inlineStr">
        <is>
          <t>Skip</t>
        </is>
      </c>
      <c r="J322" s="32" t="inlineStr">
        <is>
          <t>Lauri G Thoday (L&amp;I principal)</t>
        </is>
      </c>
      <c r="K322" s="32" t="inlineStr">
        <is>
          <t>GOLDMINE T3 (license 2004-01-09). Fails star bar (3.6/28) + commercial mechanical/plumbing focus (office buildings).</t>
        </is>
      </c>
      <c r="L322" s="32" t="inlineStr">
        <is>
          <t>L&amp;I Goldmine triage</t>
        </is>
      </c>
      <c r="M322" s="32" t="inlineStr">
        <is>
          <t>2026-07-02</t>
        </is>
      </c>
    </row>
    <row r="323" ht="29" customHeight="1" s="21">
      <c r="A323" s="32" t="inlineStr">
        <is>
          <t>Renton</t>
        </is>
      </c>
      <c r="B323" s="32" t="inlineStr">
        <is>
          <t>Mountain Valley Heating &amp; A/C</t>
        </is>
      </c>
      <c r="C323" s="32" t="inlineStr">
        <is>
          <t>(425) 226-0080</t>
        </is>
      </c>
      <c r="D323" s="32" t="inlineStr">
        <is>
          <t>Yes</t>
        </is>
      </c>
      <c r="E323" s="32" t="inlineStr">
        <is>
          <t>mountainvalleyheating.com</t>
        </is>
      </c>
      <c r="F323" s="32" t="inlineStr">
        <is>
          <t>Professional</t>
        </is>
      </c>
      <c r="G323" s="32" t="inlineStr">
        <is>
          <t>4.9</t>
        </is>
      </c>
      <c r="H323" s="32" t="inlineStr">
        <is>
          <t>166</t>
        </is>
      </c>
      <c r="I323" s="43" t="inlineStr">
        <is>
          <t>Skip</t>
        </is>
      </c>
      <c r="J323" s="32" t="inlineStr">
        <is>
          <t>Erik J Sorensen (L&amp;I principal)</t>
        </is>
      </c>
      <c r="K323" s="32" t="inlineStr">
        <is>
          <t>GOLDMINE T3 (license 2004-03-05). Healthy established operation, 4.9/166. STEP 24.</t>
        </is>
      </c>
      <c r="L323" s="32" t="inlineStr">
        <is>
          <t>L&amp;I Goldmine triage</t>
        </is>
      </c>
      <c r="M323" s="32" t="inlineStr">
        <is>
          <t>2026-07-02</t>
        </is>
      </c>
    </row>
    <row r="324" ht="43.5" customHeight="1" s="21">
      <c r="A324" s="32" t="inlineStr">
        <is>
          <t>Seattle</t>
        </is>
      </c>
      <c r="B324" s="32" t="inlineStr">
        <is>
          <t>Great Sun Corp</t>
        </is>
      </c>
      <c r="C324" s="32" t="inlineStr">
        <is>
          <t>(206) 329-8027</t>
        </is>
      </c>
      <c r="D324" s="32" t="inlineStr">
        <is>
          <t>Yes</t>
        </is>
      </c>
      <c r="E324" s="32" t="inlineStr">
        <is>
          <t>Has website</t>
        </is>
      </c>
      <c r="F324" s="32" t="inlineStr">
        <is>
          <t>Not assessed</t>
        </is>
      </c>
      <c r="G324" s="32" t="inlineStr">
        <is>
          <t>4.7</t>
        </is>
      </c>
      <c r="H324" s="32" t="inlineStr">
        <is>
          <t>12</t>
        </is>
      </c>
      <c r="I324" s="43" t="inlineStr">
        <is>
          <t>Skip</t>
        </is>
      </c>
      <c r="J324" s="32" t="inlineStr">
        <is>
          <t>Kevin Ta (L&amp;I principal)</t>
        </is>
      </c>
      <c r="K324" s="32" t="inlineStr">
        <is>
          <t>GOLDMINE T3 (license 2005-03-21). Category mismatch: GMB is a RESTAURANT SUPPLY STORE (SM license likely for kitchen hoods/commercial).</t>
        </is>
      </c>
      <c r="L324" s="32" t="inlineStr">
        <is>
          <t>L&amp;I Goldmine triage</t>
        </is>
      </c>
      <c r="M324" s="32" t="inlineStr">
        <is>
          <t>2026-07-02</t>
        </is>
      </c>
    </row>
    <row r="325" ht="29" customHeight="1" s="21">
      <c r="A325" s="32" t="inlineStr">
        <is>
          <t>Auburn</t>
        </is>
      </c>
      <c r="B325" s="32" t="inlineStr">
        <is>
          <t>Diamond Construction Services LLC</t>
        </is>
      </c>
      <c r="C325" s="32" t="inlineStr">
        <is>
          <t>(253) 797-3857</t>
        </is>
      </c>
      <c r="D325" s="32" t="inlineStr">
        <is>
          <t>Unknown</t>
        </is>
      </c>
      <c r="E325" s="32" t="inlineStr">
        <is>
          <t>Not checked</t>
        </is>
      </c>
      <c r="F325" s="32" t="inlineStr">
        <is>
          <t>Not assessed</t>
        </is>
      </c>
      <c r="G325" s="32" t="n"/>
      <c r="H325" s="32" t="n"/>
      <c r="I325" s="43" t="inlineStr">
        <is>
          <t>Skip</t>
        </is>
      </c>
      <c r="J325" s="32" t="inlineStr">
        <is>
          <t>Dale Fite (L&amp;I principal)</t>
        </is>
      </c>
      <c r="K325" s="32" t="inlineStr">
        <is>
          <t>GOLDMINE T3. Category mismatch by name: general construction. NAME PRE-FILTER - not individually visited.</t>
        </is>
      </c>
      <c r="L325" s="32" t="inlineStr">
        <is>
          <t>L&amp;I Goldmine triage</t>
        </is>
      </c>
      <c r="M325" s="32" t="inlineStr">
        <is>
          <t>2026-07-02</t>
        </is>
      </c>
    </row>
    <row r="326" ht="58" customHeight="1" s="21">
      <c r="A326" s="32" t="inlineStr">
        <is>
          <t>Kirkland</t>
        </is>
      </c>
      <c r="B326" s="32" t="inlineStr">
        <is>
          <t>CFM Heating &amp; Cooling Inc</t>
        </is>
      </c>
      <c r="C326" s="32" t="inlineStr">
        <is>
          <t>(206) 596-8014</t>
        </is>
      </c>
      <c r="D326" s="32" t="inlineStr">
        <is>
          <t>No</t>
        </is>
      </c>
      <c r="E326" s="32" t="inlineStr">
        <is>
          <t>N/A</t>
        </is>
      </c>
      <c r="F326" s="32" t="inlineStr">
        <is>
          <t>N/A</t>
        </is>
      </c>
      <c r="G326" s="32" t="inlineStr">
        <is>
          <t>3.9</t>
        </is>
      </c>
      <c r="H326" s="32" t="inlineStr">
        <is>
          <t>7</t>
        </is>
      </c>
      <c r="I326" s="43" t="inlineStr">
        <is>
          <t>Skip</t>
        </is>
      </c>
      <c r="J326" s="32" t="inlineStr">
        <is>
          <t>Shaun P Clancy (L&amp;I principal)</t>
        </is>
      </c>
      <c r="K326" s="32" t="inlineStr">
        <is>
          <t>GOLDMINE T3 (license 2005-11-30). Fails star bar (3.9/7; low-star path needs 40+). Commercial/construction clientele per reviews. Unclaimed, no website - but reputation+commercial focus disqualify.</t>
        </is>
      </c>
      <c r="L326" s="32" t="inlineStr">
        <is>
          <t>L&amp;I Goldmine triage</t>
        </is>
      </c>
      <c r="M326" s="32" t="inlineStr">
        <is>
          <t>2026-07-02</t>
        </is>
      </c>
    </row>
    <row r="327" ht="43.5" customHeight="1" s="21">
      <c r="A327" s="32" t="inlineStr">
        <is>
          <t>Battle Ground</t>
        </is>
      </c>
      <c r="B327" s="32" t="inlineStr">
        <is>
          <t>Waterways Inc</t>
        </is>
      </c>
      <c r="C327" s="32" t="inlineStr">
        <is>
          <t>(360) 687-1304</t>
        </is>
      </c>
      <c r="D327" s="32" t="inlineStr">
        <is>
          <t>Yes</t>
        </is>
      </c>
      <c r="E327" s="32" t="inlineStr">
        <is>
          <t>waterwaysplumbing.com</t>
        </is>
      </c>
      <c r="F327" s="32" t="inlineStr">
        <is>
          <t>Professional</t>
        </is>
      </c>
      <c r="G327" s="32" t="inlineStr">
        <is>
          <t>4.7</t>
        </is>
      </c>
      <c r="H327" s="32" t="inlineStr">
        <is>
          <t>82</t>
        </is>
      </c>
      <c r="I327" s="43" t="inlineStr">
        <is>
          <t>Skip</t>
        </is>
      </c>
      <c r="J327" s="32" t="inlineStr">
        <is>
          <t>Richard E Rhoades (L&amp;I principal)</t>
        </is>
      </c>
      <c r="K327" s="32" t="inlineStr">
        <is>
          <t>GOLDMINE T3 (license 2005-10-17). Category mismatch: plumber-primary, actively managed (owner responds). STEP 24.</t>
        </is>
      </c>
      <c r="L327" s="32" t="inlineStr">
        <is>
          <t>L&amp;I Goldmine triage</t>
        </is>
      </c>
      <c r="M327" s="32" t="inlineStr">
        <is>
          <t>2026-07-02</t>
        </is>
      </c>
    </row>
    <row r="328" ht="43.5" customHeight="1" s="21">
      <c r="A328" s="32" t="inlineStr">
        <is>
          <t>Edmonds</t>
        </is>
      </c>
      <c r="B328" s="32" t="inlineStr">
        <is>
          <t>Mainstream Mechanical</t>
        </is>
      </c>
      <c r="C328" s="32" t="inlineStr">
        <is>
          <t>(425) 778-4315</t>
        </is>
      </c>
      <c r="D328" s="32" t="inlineStr">
        <is>
          <t>Yes</t>
        </is>
      </c>
      <c r="E328" s="32" t="inlineStr">
        <is>
          <t>mainstreammech.com</t>
        </is>
      </c>
      <c r="F328" s="32" t="inlineStr">
        <is>
          <t>Not assessed</t>
        </is>
      </c>
      <c r="G328" s="32" t="inlineStr">
        <is>
          <t>3.5</t>
        </is>
      </c>
      <c r="H328" s="32" t="inlineStr">
        <is>
          <t>6</t>
        </is>
      </c>
      <c r="I328" s="43" t="inlineStr">
        <is>
          <t>Skip</t>
        </is>
      </c>
      <c r="J328" s="32" t="inlineStr">
        <is>
          <t>Clifford S Shoemaker (L&amp;I principal)</t>
        </is>
      </c>
      <c r="K328" s="32" t="inlineStr">
        <is>
          <t>GOLDMINE T3 (license 2006-04-06). Fails star bar (3.5/6, two detailed negative reviews). Commercial refrigeration lean. Unclaimed.</t>
        </is>
      </c>
      <c r="L328" s="32" t="inlineStr">
        <is>
          <t>L&amp;I Goldmine triage</t>
        </is>
      </c>
      <c r="M328" s="32" t="inlineStr">
        <is>
          <t>2026-07-02</t>
        </is>
      </c>
    </row>
    <row r="329" ht="43.5" customHeight="1" s="21">
      <c r="A329" s="32" t="inlineStr">
        <is>
          <t>Vancouver</t>
        </is>
      </c>
      <c r="B329" s="32" t="inlineStr">
        <is>
          <t>Polar Refrigeration Inc</t>
        </is>
      </c>
      <c r="C329" s="32" t="inlineStr">
        <is>
          <t>(360) 891-6783</t>
        </is>
      </c>
      <c r="D329" s="32" t="inlineStr">
        <is>
          <t>Yes</t>
        </is>
      </c>
      <c r="E329" s="32" t="inlineStr">
        <is>
          <t>polar-refrigeration.net</t>
        </is>
      </c>
      <c r="F329" s="32" t="inlineStr">
        <is>
          <t>Not assessed</t>
        </is>
      </c>
      <c r="G329" s="32" t="inlineStr">
        <is>
          <t>3.0</t>
        </is>
      </c>
      <c r="H329" s="32" t="inlineStr">
        <is>
          <t>27</t>
        </is>
      </c>
      <c r="I329" s="43" t="inlineStr">
        <is>
          <t>Skip</t>
        </is>
      </c>
      <c r="J329" s="32" t="inlineStr">
        <is>
          <t>Anthony Rico (L&amp;I principal)</t>
        </is>
      </c>
      <c r="K329" s="32" t="inlineStr">
        <is>
          <t>GOLDMINE T3 (license 2006-05-03). Fails star bar (3.0/27) + commercial walk-in cooler focus + driver-conduct complaints.</t>
        </is>
      </c>
      <c r="L329" s="32" t="inlineStr">
        <is>
          <t>L&amp;I Goldmine triage</t>
        </is>
      </c>
      <c r="M329" s="32" t="inlineStr">
        <is>
          <t>2026-07-02</t>
        </is>
      </c>
    </row>
    <row r="330" ht="43.5" customHeight="1" s="21">
      <c r="A330" s="32" t="inlineStr">
        <is>
          <t>Vancouver</t>
        </is>
      </c>
      <c r="B330" s="32" t="inlineStr">
        <is>
          <t>JNB Mechanical Inc</t>
        </is>
      </c>
      <c r="C330" s="32" t="inlineStr">
        <is>
          <t>(360) 433-9067</t>
        </is>
      </c>
      <c r="D330" s="32" t="inlineStr">
        <is>
          <t>Yes</t>
        </is>
      </c>
      <c r="E330" s="32" t="inlineStr">
        <is>
          <t>jnbmech.com</t>
        </is>
      </c>
      <c r="F330" s="32" t="inlineStr">
        <is>
          <t>Professional</t>
        </is>
      </c>
      <c r="G330" s="32" t="inlineStr">
        <is>
          <t>4.4</t>
        </is>
      </c>
      <c r="H330" s="32" t="inlineStr">
        <is>
          <t>33</t>
        </is>
      </c>
      <c r="I330" s="43" t="inlineStr">
        <is>
          <t>Skip</t>
        </is>
      </c>
      <c r="J330" s="32" t="inlineStr">
        <is>
          <t>Jason D Ellis (L&amp;I principal)</t>
        </is>
      </c>
      <c r="K330" s="32" t="inlineStr">
        <is>
          <t>GOLDMINE T3 (license 2006-11-10). Commercial/property-management clientele (lease-ups, gyms). Managed. STEP 24.</t>
        </is>
      </c>
      <c r="L330" s="32" t="inlineStr">
        <is>
          <t>L&amp;I Goldmine triage</t>
        </is>
      </c>
      <c r="M330" s="32" t="inlineStr">
        <is>
          <t>2026-07-02</t>
        </is>
      </c>
    </row>
    <row r="331" ht="43.5" customHeight="1" s="21">
      <c r="A331" s="32" t="inlineStr">
        <is>
          <t>Auburn (lic. Renton)</t>
        </is>
      </c>
      <c r="B331" s="32" t="inlineStr">
        <is>
          <t>Furnace Doctors</t>
        </is>
      </c>
      <c r="C331" s="32" t="inlineStr">
        <is>
          <t>(888) 414-4328</t>
        </is>
      </c>
      <c r="D331" s="32" t="inlineStr">
        <is>
          <t>Yes</t>
        </is>
      </c>
      <c r="E331" s="32" t="inlineStr">
        <is>
          <t>furnacedoctors.org</t>
        </is>
      </c>
      <c r="F331" s="32" t="inlineStr">
        <is>
          <t>Not assessed</t>
        </is>
      </c>
      <c r="G331" s="32" t="inlineStr">
        <is>
          <t>2.0</t>
        </is>
      </c>
      <c r="H331" s="32" t="inlineStr">
        <is>
          <t>42</t>
        </is>
      </c>
      <c r="I331" s="43" t="inlineStr">
        <is>
          <t>Skip</t>
        </is>
      </c>
      <c r="J331" s="32" t="n"/>
      <c r="K331" s="32" t="inlineStr">
        <is>
          <t>GOLDMINE T3 (license 2007-11-13). Fails star bar catastrophically (2.0/42) - AHS home-warranty complaint pattern. Not a client to want.</t>
        </is>
      </c>
      <c r="L331" s="32" t="inlineStr">
        <is>
          <t>L&amp;I Goldmine triage</t>
        </is>
      </c>
      <c r="M331" s="32" t="inlineStr">
        <is>
          <t>2026-07-02</t>
        </is>
      </c>
    </row>
    <row r="332" ht="29" customHeight="1" s="21">
      <c r="A332" s="32" t="inlineStr">
        <is>
          <t>Vancouver</t>
        </is>
      </c>
      <c r="B332" s="32" t="inlineStr">
        <is>
          <t>Power Vac LLC</t>
        </is>
      </c>
      <c r="C332" s="32" t="inlineStr">
        <is>
          <t>(360) 694-6284</t>
        </is>
      </c>
      <c r="D332" s="32" t="inlineStr">
        <is>
          <t>Unknown</t>
        </is>
      </c>
      <c r="E332" s="32" t="inlineStr">
        <is>
          <t>Not checked</t>
        </is>
      </c>
      <c r="F332" s="32" t="inlineStr">
        <is>
          <t>Not assessed</t>
        </is>
      </c>
      <c r="G332" s="32" t="n"/>
      <c r="H332" s="32" t="n"/>
      <c r="I332" s="43" t="inlineStr">
        <is>
          <t>Skip</t>
        </is>
      </c>
      <c r="J332" s="32" t="n"/>
      <c r="K332" s="32" t="inlineStr">
        <is>
          <t>GOLDMINE T3. Category mismatch by name: power-vac duct cleaning. NAME PRE-FILTER - not individually visited.</t>
        </is>
      </c>
      <c r="L332" s="32" t="inlineStr">
        <is>
          <t>L&amp;I Goldmine triage</t>
        </is>
      </c>
      <c r="M332" s="32" t="inlineStr">
        <is>
          <t>2026-07-02</t>
        </is>
      </c>
    </row>
    <row r="333" ht="29" customHeight="1" s="21">
      <c r="A333" s="32" t="inlineStr">
        <is>
          <t>Battle Ground</t>
        </is>
      </c>
      <c r="B333" s="32" t="inlineStr">
        <is>
          <t>Hendrickson HVAC</t>
        </is>
      </c>
      <c r="C333" s="32" t="inlineStr">
        <is>
          <t>(360) 687-2034</t>
        </is>
      </c>
      <c r="D333" s="32" t="inlineStr">
        <is>
          <t>Yes</t>
        </is>
      </c>
      <c r="E333" s="32" t="inlineStr">
        <is>
          <t>hendricksonhvac.com</t>
        </is>
      </c>
      <c r="F333" s="32" t="inlineStr">
        <is>
          <t>Professional</t>
        </is>
      </c>
      <c r="G333" s="32" t="inlineStr">
        <is>
          <t>4.9</t>
        </is>
      </c>
      <c r="H333" s="32" t="inlineStr">
        <is>
          <t>342</t>
        </is>
      </c>
      <c r="I333" s="43" t="inlineStr">
        <is>
          <t>Skip</t>
        </is>
      </c>
      <c r="J333" s="32" t="n"/>
      <c r="K333" s="32" t="inlineStr">
        <is>
          <t>GOLDMINE T3 (license 2007-09-20). Actively managed: Book online, owner responds, GMB post June 2026. STEP 24.</t>
        </is>
      </c>
      <c r="L333" s="32" t="inlineStr">
        <is>
          <t>L&amp;I Goldmine triage</t>
        </is>
      </c>
      <c r="M333" s="32" t="inlineStr">
        <is>
          <t>2026-07-02</t>
        </is>
      </c>
    </row>
    <row r="334" ht="29" customHeight="1" s="21">
      <c r="A334" s="32" t="inlineStr">
        <is>
          <t>Vancouver</t>
        </is>
      </c>
      <c r="B334" s="32" t="inlineStr">
        <is>
          <t>Service First Heating and Cooling</t>
        </is>
      </c>
      <c r="C334" s="32" t="inlineStr">
        <is>
          <t>(360) 591-7274</t>
        </is>
      </c>
      <c r="D334" s="32" t="inlineStr">
        <is>
          <t>Yes</t>
        </is>
      </c>
      <c r="E334" s="32" t="inlineStr">
        <is>
          <t>servicefirstheatingandcooling.com</t>
        </is>
      </c>
      <c r="F334" s="32" t="inlineStr">
        <is>
          <t>Professional</t>
        </is>
      </c>
      <c r="G334" s="32" t="inlineStr">
        <is>
          <t>4.9</t>
        </is>
      </c>
      <c r="H334" s="32" t="inlineStr">
        <is>
          <t>139</t>
        </is>
      </c>
      <c r="I334" s="43" t="inlineStr">
        <is>
          <t>Skip</t>
        </is>
      </c>
      <c r="J334" s="32" t="n"/>
      <c r="K334" s="32" t="inlineStr">
        <is>
          <t>GOLDMINE T3 (license 2008-04-24). Managed operation. STEP 24.</t>
        </is>
      </c>
      <c r="L334" s="32" t="inlineStr">
        <is>
          <t>L&amp;I Goldmine triage</t>
        </is>
      </c>
      <c r="M334" s="32" t="inlineStr">
        <is>
          <t>2026-07-02</t>
        </is>
      </c>
    </row>
    <row r="335" ht="29" customHeight="1" s="21">
      <c r="A335" s="32" t="inlineStr">
        <is>
          <t>Bellevue</t>
        </is>
      </c>
      <c r="B335" s="32" t="inlineStr">
        <is>
          <t>Trane (manufacturer license row)</t>
        </is>
      </c>
      <c r="C335" s="32" t="n"/>
      <c r="D335" s="32" t="inlineStr">
        <is>
          <t>Yes</t>
        </is>
      </c>
      <c r="E335" s="32" t="inlineStr">
        <is>
          <t>trane.com</t>
        </is>
      </c>
      <c r="F335" s="32" t="inlineStr">
        <is>
          <t>N/A</t>
        </is>
      </c>
      <c r="G335" s="32" t="inlineStr">
        <is>
          <t>1.0</t>
        </is>
      </c>
      <c r="H335" s="32" t="inlineStr">
        <is>
          <t>1</t>
        </is>
      </c>
      <c r="I335" s="43" t="inlineStr">
        <is>
          <t>Skip</t>
        </is>
      </c>
      <c r="J335" s="32" t="n"/>
      <c r="K335" s="32" t="inlineStr">
        <is>
          <t>GOLDMINE T3. Equipment MANUFACTURER license row - not a contractor prospect. Settled without lookup.</t>
        </is>
      </c>
      <c r="L335" s="32" t="inlineStr">
        <is>
          <t>L&amp;I Goldmine triage</t>
        </is>
      </c>
      <c r="M335" s="32" t="inlineStr">
        <is>
          <t>2026-07-02</t>
        </is>
      </c>
    </row>
    <row r="336" ht="29" customHeight="1" s="21">
      <c r="A336" s="32" t="inlineStr">
        <is>
          <t>Kent</t>
        </is>
      </c>
      <c r="B336" s="32" t="inlineStr">
        <is>
          <t>Alex Refrigeration and Air Conditioning</t>
        </is>
      </c>
      <c r="C336" s="32" t="inlineStr">
        <is>
          <t>(253) 740-0334</t>
        </is>
      </c>
      <c r="D336" s="32" t="inlineStr">
        <is>
          <t>No</t>
        </is>
      </c>
      <c r="E336" s="32" t="inlineStr">
        <is>
          <t>N/A</t>
        </is>
      </c>
      <c r="F336" s="32" t="inlineStr">
        <is>
          <t>N/A</t>
        </is>
      </c>
      <c r="G336" s="32" t="inlineStr">
        <is>
          <t>1.0</t>
        </is>
      </c>
      <c r="H336" s="32" t="inlineStr">
        <is>
          <t>1</t>
        </is>
      </c>
      <c r="I336" s="43" t="inlineStr">
        <is>
          <t>Skip</t>
        </is>
      </c>
      <c r="J336" s="32" t="n"/>
      <c r="K336" s="32" t="inlineStr">
        <is>
          <t>GOLDMINE T3 (license 2008-08-19). Fails star bar (1.0/1) with detailed scam accusation. Do not pitch.</t>
        </is>
      </c>
      <c r="L336" s="32" t="inlineStr">
        <is>
          <t>L&amp;I Goldmine triage</t>
        </is>
      </c>
      <c r="M336" s="32" t="inlineStr">
        <is>
          <t>2026-07-02</t>
        </is>
      </c>
    </row>
    <row r="337" ht="29" customHeight="1" s="21">
      <c r="A337" s="32" t="inlineStr">
        <is>
          <t>Auburn</t>
        </is>
      </c>
      <c r="B337" s="32" t="inlineStr">
        <is>
          <t>Erickson Commercial Refrigeration</t>
        </is>
      </c>
      <c r="C337" s="32" t="inlineStr">
        <is>
          <t>(206) 789-4722</t>
        </is>
      </c>
      <c r="D337" s="32" t="inlineStr">
        <is>
          <t>Yes</t>
        </is>
      </c>
      <c r="E337" s="32" t="inlineStr">
        <is>
          <t>ericksonrefrigeration.com</t>
        </is>
      </c>
      <c r="F337" s="32" t="inlineStr">
        <is>
          <t>Professional</t>
        </is>
      </c>
      <c r="G337" s="32" t="inlineStr">
        <is>
          <t>4.5</t>
        </is>
      </c>
      <c r="H337" s="32" t="inlineStr">
        <is>
          <t>2</t>
        </is>
      </c>
      <c r="I337" s="43" t="inlineStr">
        <is>
          <t>Skip</t>
        </is>
      </c>
      <c r="J337" s="32" t="n"/>
      <c r="K337" s="32" t="inlineStr">
        <is>
          <t>GOLDMINE T3. Category mismatch: COMMERCIAL refrigeration (it is in the name), managed GMB with posts.</t>
        </is>
      </c>
      <c r="L337" s="32" t="inlineStr">
        <is>
          <t>L&amp;I Goldmine triage</t>
        </is>
      </c>
      <c r="M337" s="32" t="inlineStr">
        <is>
          <t>2026-07-02</t>
        </is>
      </c>
    </row>
    <row r="338" ht="43.5" customHeight="1" s="21">
      <c r="A338" s="32" t="inlineStr">
        <is>
          <t>Seattle</t>
        </is>
      </c>
      <c r="B338" s="32" t="inlineStr">
        <is>
          <t>Energy Technologies</t>
        </is>
      </c>
      <c r="C338" s="32" t="inlineStr">
        <is>
          <t>(206) 580-1151</t>
        </is>
      </c>
      <c r="D338" s="32" t="inlineStr">
        <is>
          <t>Yes</t>
        </is>
      </c>
      <c r="E338" s="32" t="inlineStr">
        <is>
          <t>energytechnologiesllc.com</t>
        </is>
      </c>
      <c r="F338" s="32" t="inlineStr">
        <is>
          <t>Professional</t>
        </is>
      </c>
      <c r="G338" s="32" t="inlineStr">
        <is>
          <t>4.7</t>
        </is>
      </c>
      <c r="H338" s="32" t="inlineStr">
        <is>
          <t>55</t>
        </is>
      </c>
      <c r="I338" s="43" t="inlineStr">
        <is>
          <t>Skip</t>
        </is>
      </c>
      <c r="J338" s="32" t="n"/>
      <c r="K338" s="32" t="inlineStr">
        <is>
          <t>GOLDMINE T3 (license 2009-05-21). Healthy managed operation (videos, photos, 4.7/55, Mitsubishi specialist). STEP 24.</t>
        </is>
      </c>
      <c r="L338" s="32" t="inlineStr">
        <is>
          <t>L&amp;I Goldmine triage</t>
        </is>
      </c>
      <c r="M338" s="32" t="inlineStr">
        <is>
          <t>2026-07-02</t>
        </is>
      </c>
    </row>
    <row r="339" ht="29" customHeight="1" s="21">
      <c r="A339" s="32" t="inlineStr">
        <is>
          <t>Auburn</t>
        </is>
      </c>
      <c r="B339" s="32" t="inlineStr">
        <is>
          <t>City Energy Systems</t>
        </is>
      </c>
      <c r="C339" s="32" t="inlineStr">
        <is>
          <t>(253) 736-0983</t>
        </is>
      </c>
      <c r="D339" s="32" t="inlineStr">
        <is>
          <t>Yes</t>
        </is>
      </c>
      <c r="E339" s="32" t="inlineStr">
        <is>
          <t>Has website</t>
        </is>
      </c>
      <c r="F339" s="32" t="inlineStr">
        <is>
          <t>Professional</t>
        </is>
      </c>
      <c r="G339" s="32" t="inlineStr">
        <is>
          <t>4.9</t>
        </is>
      </c>
      <c r="H339" s="32" t="inlineStr">
        <is>
          <t>77</t>
        </is>
      </c>
      <c r="I339" s="43" t="inlineStr">
        <is>
          <t>Skip</t>
        </is>
      </c>
      <c r="J339" s="32" t="n"/>
      <c r="K339" s="32" t="inlineStr">
        <is>
          <t>GOLDMINE T3. PASF settle (NWCS Auburn lookup): 4.9/77 with website. STEP 24 - not individually visited.</t>
        </is>
      </c>
      <c r="L339" s="32" t="inlineStr">
        <is>
          <t>L&amp;I Goldmine triage</t>
        </is>
      </c>
      <c r="M339" s="32" t="inlineStr">
        <is>
          <t>2026-07-02</t>
        </is>
      </c>
    </row>
    <row r="340" ht="87" customHeight="1" s="21">
      <c r="A340" s="32" t="inlineStr">
        <is>
          <t>Lynnwood</t>
        </is>
      </c>
      <c r="B340" s="32" t="inlineStr">
        <is>
          <t>AAA HVAC Solution Lynnwood (relation to Aaa Hvac Llc license unconfirmed)</t>
        </is>
      </c>
      <c r="C340" s="32" t="inlineStr">
        <is>
          <t>(425) 476-2880</t>
        </is>
      </c>
      <c r="D340" s="32" t="inlineStr">
        <is>
          <t>No</t>
        </is>
      </c>
      <c r="E340" s="32" t="inlineStr">
        <is>
          <t>N/A</t>
        </is>
      </c>
      <c r="F340" s="32" t="inlineStr">
        <is>
          <t>N/A</t>
        </is>
      </c>
      <c r="G340" s="32" t="inlineStr">
        <is>
          <t>5.0</t>
        </is>
      </c>
      <c r="H340" s="32" t="inlineStr">
        <is>
          <t>8</t>
        </is>
      </c>
      <c r="I340" s="43" t="inlineStr">
        <is>
          <t>Skip</t>
        </is>
      </c>
      <c r="J340" s="32" t="n"/>
      <c r="K340" s="32" t="inlineStr">
        <is>
          <t>GOLDMINE T3. STEP 20 SUSPECTED FAKE/SPAM LISTING: stilted SEO reviews from 1-2-review accounts, AI-styled owner responses, every identity badge stacked, blanket 24hrs, keyword GMB posts. DO NOT PITCH. If the L&amp;I "Aaa Hvac Llc" is a different real business, it has zero legit GMB anyway - low priority.</t>
        </is>
      </c>
      <c r="L340" s="32" t="inlineStr">
        <is>
          <t>L&amp;I Goldmine triage</t>
        </is>
      </c>
      <c r="M340" s="32" t="inlineStr">
        <is>
          <t>2026-07-02</t>
        </is>
      </c>
    </row>
    <row r="341" ht="58" customHeight="1" s="21">
      <c r="A341" s="32" t="inlineStr">
        <is>
          <t>Seattle</t>
        </is>
      </c>
      <c r="B341" s="32" t="inlineStr">
        <is>
          <t>Uni Refrigeration</t>
        </is>
      </c>
      <c r="C341" s="32" t="inlineStr">
        <is>
          <t>(206) 406-3964</t>
        </is>
      </c>
      <c r="D341" s="32" t="inlineStr">
        <is>
          <t>No</t>
        </is>
      </c>
      <c r="E341" s="32" t="inlineStr">
        <is>
          <t>N/A</t>
        </is>
      </c>
      <c r="F341" s="32" t="inlineStr">
        <is>
          <t>N/A</t>
        </is>
      </c>
      <c r="G341" s="32" t="n"/>
      <c r="H341" s="32" t="inlineStr">
        <is>
          <t>0</t>
        </is>
      </c>
      <c r="I341" s="43" t="inlineStr">
        <is>
          <t>Skip</t>
        </is>
      </c>
      <c r="J341" s="32" t="n"/>
      <c r="K341" s="32" t="inlineStr">
        <is>
          <t>GOLDMINE T3. Refrigeration-only name in metro Seattle + zero GMB - likely commercial refrig. NAME-JUDGMENT skip (pre-filter spirit); revisit only if pipeline runs dry.</t>
        </is>
      </c>
      <c r="L341" s="32" t="inlineStr">
        <is>
          <t>L&amp;I Goldmine triage</t>
        </is>
      </c>
      <c r="M341" s="32" t="inlineStr">
        <is>
          <t>2026-07-02</t>
        </is>
      </c>
    </row>
    <row r="342" ht="29" customHeight="1" s="21">
      <c r="A342" s="32" t="inlineStr">
        <is>
          <t>Ridgefield</t>
        </is>
      </c>
      <c r="B342" s="32" t="inlineStr">
        <is>
          <t>All Around Mechanical</t>
        </is>
      </c>
      <c r="C342" s="32" t="inlineStr">
        <is>
          <t>(360) 896-2829</t>
        </is>
      </c>
      <c r="D342" s="32" t="inlineStr">
        <is>
          <t>Yes</t>
        </is>
      </c>
      <c r="E342" s="32" t="inlineStr">
        <is>
          <t>allaroundmech.com</t>
        </is>
      </c>
      <c r="F342" s="32" t="inlineStr">
        <is>
          <t>Professional</t>
        </is>
      </c>
      <c r="G342" s="32" t="inlineStr">
        <is>
          <t>5.0</t>
        </is>
      </c>
      <c r="H342" s="32" t="inlineStr">
        <is>
          <t>536</t>
        </is>
      </c>
      <c r="I342" s="43" t="inlineStr">
        <is>
          <t>Skip</t>
        </is>
      </c>
      <c r="J342" s="32" t="n"/>
      <c r="K342" s="32" t="inlineStr">
        <is>
          <t>GOLDMINE T3. Heavily managed: Book online, GMB post 1 day old, 536 reviews. STEP 24.</t>
        </is>
      </c>
      <c r="L342" s="32" t="inlineStr">
        <is>
          <t>L&amp;I Goldmine triage</t>
        </is>
      </c>
      <c r="M342" s="32" t="inlineStr">
        <is>
          <t>2026-07-02</t>
        </is>
      </c>
    </row>
    <row r="343" ht="29" customHeight="1" s="21">
      <c r="A343" s="32" t="inlineStr">
        <is>
          <t>Renton</t>
        </is>
      </c>
      <c r="B343" s="32" t="inlineStr">
        <is>
          <t>Dryer Vent Solutions</t>
        </is>
      </c>
      <c r="C343" s="32" t="inlineStr">
        <is>
          <t>(425) 398-5001</t>
        </is>
      </c>
      <c r="D343" s="32" t="inlineStr">
        <is>
          <t>Unknown</t>
        </is>
      </c>
      <c r="E343" s="32" t="inlineStr">
        <is>
          <t>Not checked</t>
        </is>
      </c>
      <c r="F343" s="32" t="inlineStr">
        <is>
          <t>Not assessed</t>
        </is>
      </c>
      <c r="G343" s="32" t="n"/>
      <c r="H343" s="32" t="n"/>
      <c r="I343" s="43" t="inlineStr">
        <is>
          <t>Skip</t>
        </is>
      </c>
      <c r="J343" s="32" t="n"/>
      <c r="K343" s="32" t="inlineStr">
        <is>
          <t>GOLDMINE T3. Category mismatch by name: dryer vent cleaning. NAME PRE-FILTER.</t>
        </is>
      </c>
      <c r="L343" s="32" t="inlineStr">
        <is>
          <t>L&amp;I Goldmine triage</t>
        </is>
      </c>
      <c r="M343" s="32" t="inlineStr">
        <is>
          <t>2026-07-02</t>
        </is>
      </c>
    </row>
    <row r="344" ht="29" customHeight="1" s="21">
      <c r="A344" s="32" t="inlineStr">
        <is>
          <t>Seattle</t>
        </is>
      </c>
      <c r="B344" s="32" t="inlineStr">
        <is>
          <t>Ocean Park Mechanical Inc</t>
        </is>
      </c>
      <c r="C344" s="32" t="inlineStr">
        <is>
          <t>(206) 763-2517</t>
        </is>
      </c>
      <c r="D344" s="32" t="inlineStr">
        <is>
          <t>Unknown</t>
        </is>
      </c>
      <c r="E344" s="32" t="inlineStr">
        <is>
          <t>Not checked</t>
        </is>
      </c>
      <c r="F344" s="32" t="inlineStr">
        <is>
          <t>Not assessed</t>
        </is>
      </c>
      <c r="G344" s="32" t="inlineStr">
        <is>
          <t>4.3</t>
        </is>
      </c>
      <c r="H344" s="32" t="inlineStr">
        <is>
          <t>6</t>
        </is>
      </c>
      <c r="I344" s="43" t="inlineStr">
        <is>
          <t>Skip</t>
        </is>
      </c>
      <c r="J344" s="32" t="n"/>
      <c r="K344" s="32" t="inlineStr">
        <is>
          <t>GOLDMINE T3. PASF settle (Enviromech lookup): listed as PLUMBER 4.3/6. Category mismatch.</t>
        </is>
      </c>
      <c r="L344" s="32" t="inlineStr">
        <is>
          <t>L&amp;I Goldmine triage</t>
        </is>
      </c>
      <c r="M344" s="32" t="inlineStr">
        <is>
          <t>2026-07-02</t>
        </is>
      </c>
    </row>
    <row r="345" ht="43.5" customHeight="1" s="21">
      <c r="A345" s="32" t="inlineStr">
        <is>
          <t>Kennewick</t>
        </is>
      </c>
      <c r="B345" s="32" t="inlineStr">
        <is>
          <t>Apollo Sheet Metal Inc</t>
        </is>
      </c>
      <c r="C345" s="32" t="inlineStr">
        <is>
          <t>(509) 987-1491</t>
        </is>
      </c>
      <c r="D345" s="32" t="inlineStr">
        <is>
          <t>Unknown</t>
        </is>
      </c>
      <c r="E345" s="32" t="inlineStr">
        <is>
          <t>Not checked</t>
        </is>
      </c>
      <c r="F345" s="32" t="inlineStr">
        <is>
          <t>Not assessed</t>
        </is>
      </c>
      <c r="G345" s="32" t="n"/>
      <c r="H345" s="32" t="n"/>
      <c r="I345" s="43" t="inlineStr">
        <is>
          <t>Skip</t>
        </is>
      </c>
      <c r="J345" s="32" t="n"/>
      <c r="K345" s="32" t="inlineStr">
        <is>
          <t>GOLDMINE tail. Category mismatch: sheet metal fabrication (large commercial). NAME PRE-FILTER bulk settle - not individually visited.</t>
        </is>
      </c>
      <c r="L345" s="32" t="inlineStr">
        <is>
          <t>L&amp;I Goldmine triage</t>
        </is>
      </c>
      <c r="M345" s="32" t="inlineStr">
        <is>
          <t>2026-07-02</t>
        </is>
      </c>
    </row>
    <row r="346" ht="43.5" customHeight="1" s="21">
      <c r="A346" s="32" t="inlineStr">
        <is>
          <t>Spokane</t>
        </is>
      </c>
      <c r="B346" s="32" t="inlineStr">
        <is>
          <t>Complete Heating &amp; Sheetmetal Inc</t>
        </is>
      </c>
      <c r="C346" s="32" t="inlineStr">
        <is>
          <t>(509) 533-9528</t>
        </is>
      </c>
      <c r="D346" s="32" t="inlineStr">
        <is>
          <t>Unknown</t>
        </is>
      </c>
      <c r="E346" s="32" t="inlineStr">
        <is>
          <t>Not checked</t>
        </is>
      </c>
      <c r="F346" s="32" t="inlineStr">
        <is>
          <t>Not assessed</t>
        </is>
      </c>
      <c r="G346" s="32" t="n"/>
      <c r="H346" s="32" t="n"/>
      <c r="I346" s="43" t="inlineStr">
        <is>
          <t>Skip</t>
        </is>
      </c>
      <c r="J346" s="32" t="n"/>
      <c r="K346" s="32" t="inlineStr">
        <is>
          <t>GOLDMINE tail. Category mismatch: 3.8/48 per Moser PASF - fails 4.0 bar. NAME PRE-FILTER bulk settle - not individually visited.</t>
        </is>
      </c>
      <c r="L346" s="32" t="inlineStr">
        <is>
          <t>L&amp;I Goldmine triage</t>
        </is>
      </c>
      <c r="M346" s="32" t="inlineStr">
        <is>
          <t>2026-07-02</t>
        </is>
      </c>
    </row>
    <row r="347" ht="43.5" customHeight="1" s="21">
      <c r="A347" s="32" t="inlineStr">
        <is>
          <t>Spokane</t>
        </is>
      </c>
      <c r="B347" s="32" t="inlineStr">
        <is>
          <t>Atlas Boiler &amp; Equipment Co</t>
        </is>
      </c>
      <c r="C347" s="32" t="inlineStr">
        <is>
          <t>(509) 535-1300</t>
        </is>
      </c>
      <c r="D347" s="32" t="inlineStr">
        <is>
          <t>Unknown</t>
        </is>
      </c>
      <c r="E347" s="32" t="inlineStr">
        <is>
          <t>Not checked</t>
        </is>
      </c>
      <c r="F347" s="32" t="inlineStr">
        <is>
          <t>Not assessed</t>
        </is>
      </c>
      <c r="G347" s="32" t="n"/>
      <c r="H347" s="32" t="n"/>
      <c r="I347" s="43" t="inlineStr">
        <is>
          <t>Skip</t>
        </is>
      </c>
      <c r="J347" s="32" t="n"/>
      <c r="K347" s="32" t="inlineStr">
        <is>
          <t>GOLDMINE tail. Category mismatch: commercial boiler/equipment. NAME PRE-FILTER bulk settle - not individually visited.</t>
        </is>
      </c>
      <c r="L347" s="32" t="inlineStr">
        <is>
          <t>L&amp;I Goldmine triage</t>
        </is>
      </c>
      <c r="M347" s="32" t="inlineStr">
        <is>
          <t>2026-07-02</t>
        </is>
      </c>
    </row>
    <row r="348" ht="43.5" customHeight="1" s="21">
      <c r="A348" s="32" t="inlineStr">
        <is>
          <t>Lake Stevens</t>
        </is>
      </c>
      <c r="B348" s="32" t="inlineStr">
        <is>
          <t>Right On Heating &amp; Sheet Metal Inc</t>
        </is>
      </c>
      <c r="C348" s="32" t="inlineStr">
        <is>
          <t>(425) 335-4207</t>
        </is>
      </c>
      <c r="D348" s="32" t="inlineStr">
        <is>
          <t>Unknown</t>
        </is>
      </c>
      <c r="E348" s="32" t="inlineStr">
        <is>
          <t>Not checked</t>
        </is>
      </c>
      <c r="F348" s="32" t="inlineStr">
        <is>
          <t>Not assessed</t>
        </is>
      </c>
      <c r="G348" s="32" t="n"/>
      <c r="H348" s="32" t="n"/>
      <c r="I348" s="43" t="inlineStr">
        <is>
          <t>Skip</t>
        </is>
      </c>
      <c r="J348" s="32" t="n"/>
      <c r="K348" s="32" t="inlineStr">
        <is>
          <t>GOLDMINE tail. Category mismatch: sheet metal name pre-filter. NAME PRE-FILTER bulk settle - not individually visited.</t>
        </is>
      </c>
      <c r="L348" s="32" t="inlineStr">
        <is>
          <t>L&amp;I Goldmine triage</t>
        </is>
      </c>
      <c r="M348" s="32" t="inlineStr">
        <is>
          <t>2026-07-02</t>
        </is>
      </c>
    </row>
    <row r="349" ht="43.5" customHeight="1" s="21">
      <c r="A349" s="32" t="inlineStr">
        <is>
          <t>Selah</t>
        </is>
      </c>
      <c r="B349" s="32" t="inlineStr">
        <is>
          <t>All Valley Sheetmetal Inc</t>
        </is>
      </c>
      <c r="C349" s="32" t="inlineStr">
        <is>
          <t>(509) 249-6255</t>
        </is>
      </c>
      <c r="D349" s="32" t="inlineStr">
        <is>
          <t>Unknown</t>
        </is>
      </c>
      <c r="E349" s="32" t="inlineStr">
        <is>
          <t>Not checked</t>
        </is>
      </c>
      <c r="F349" s="32" t="inlineStr">
        <is>
          <t>Not assessed</t>
        </is>
      </c>
      <c r="G349" s="32" t="n"/>
      <c r="H349" s="32" t="n"/>
      <c r="I349" s="43" t="inlineStr">
        <is>
          <t>Skip</t>
        </is>
      </c>
      <c r="J349" s="32" t="n"/>
      <c r="K349" s="32" t="inlineStr">
        <is>
          <t>GOLDMINE tail. Category mismatch: sheet metal fabrication. NAME PRE-FILTER bulk settle - not individually visited.</t>
        </is>
      </c>
      <c r="L349" s="32" t="inlineStr">
        <is>
          <t>L&amp;I Goldmine triage</t>
        </is>
      </c>
      <c r="M349" s="32" t="inlineStr">
        <is>
          <t>2026-07-02</t>
        </is>
      </c>
    </row>
    <row r="350" ht="43.5" customHeight="1" s="21">
      <c r="A350" s="32" t="inlineStr">
        <is>
          <t>Lacey</t>
        </is>
      </c>
      <c r="B350" s="32" t="inlineStr">
        <is>
          <t>Food Service Equipment Inc</t>
        </is>
      </c>
      <c r="C350" s="32" t="inlineStr">
        <is>
          <t>(360) 259-9114</t>
        </is>
      </c>
      <c r="D350" s="32" t="inlineStr">
        <is>
          <t>Unknown</t>
        </is>
      </c>
      <c r="E350" s="32" t="inlineStr">
        <is>
          <t>Not checked</t>
        </is>
      </c>
      <c r="F350" s="32" t="inlineStr">
        <is>
          <t>Not assessed</t>
        </is>
      </c>
      <c r="G350" s="32" t="n"/>
      <c r="H350" s="32" t="n"/>
      <c r="I350" s="43" t="inlineStr">
        <is>
          <t>Skip</t>
        </is>
      </c>
      <c r="J350" s="32" t="n"/>
      <c r="K350" s="32" t="inlineStr">
        <is>
          <t>GOLDMINE tail. Category mismatch: commercial kitchen equipment. NAME PRE-FILTER bulk settle - not individually visited.</t>
        </is>
      </c>
      <c r="L350" s="32" t="inlineStr">
        <is>
          <t>L&amp;I Goldmine triage</t>
        </is>
      </c>
      <c r="M350" s="32" t="inlineStr">
        <is>
          <t>2026-07-02</t>
        </is>
      </c>
    </row>
    <row r="351" ht="29" customHeight="1" s="21">
      <c r="A351" s="32" t="inlineStr">
        <is>
          <t>Renton</t>
        </is>
      </c>
      <c r="B351" s="32" t="inlineStr">
        <is>
          <t>A T S Automation Inc</t>
        </is>
      </c>
      <c r="C351" s="32" t="inlineStr">
        <is>
          <t>(425) 251-9680</t>
        </is>
      </c>
      <c r="D351" s="32" t="inlineStr">
        <is>
          <t>Unknown</t>
        </is>
      </c>
      <c r="E351" s="32" t="inlineStr">
        <is>
          <t>Not checked</t>
        </is>
      </c>
      <c r="F351" s="32" t="inlineStr">
        <is>
          <t>Not assessed</t>
        </is>
      </c>
      <c r="G351" s="32" t="n"/>
      <c r="H351" s="32" t="n"/>
      <c r="I351" s="43" t="inlineStr">
        <is>
          <t>Skip</t>
        </is>
      </c>
      <c r="J351" s="32" t="n"/>
      <c r="K351" s="32" t="inlineStr">
        <is>
          <t>GOLDMINE tail. Category mismatch: building automation. NAME PRE-FILTER bulk settle - not individually visited.</t>
        </is>
      </c>
      <c r="L351" s="32" t="inlineStr">
        <is>
          <t>L&amp;I Goldmine triage</t>
        </is>
      </c>
      <c r="M351" s="32" t="inlineStr">
        <is>
          <t>2026-07-02</t>
        </is>
      </c>
    </row>
    <row r="352" ht="43.5" customHeight="1" s="21">
      <c r="A352" s="32" t="inlineStr">
        <is>
          <t>Seattle</t>
        </is>
      </c>
      <c r="B352" s="32" t="inlineStr">
        <is>
          <t>Genesee Fuel &amp; Heating Co Inc</t>
        </is>
      </c>
      <c r="C352" s="32" t="inlineStr">
        <is>
          <t>(206) 722-1545</t>
        </is>
      </c>
      <c r="D352" s="32" t="inlineStr">
        <is>
          <t>Unknown</t>
        </is>
      </c>
      <c r="E352" s="32" t="inlineStr">
        <is>
          <t>Not checked</t>
        </is>
      </c>
      <c r="F352" s="32" t="inlineStr">
        <is>
          <t>Not assessed</t>
        </is>
      </c>
      <c r="G352" s="32" t="n"/>
      <c r="H352" s="32" t="n"/>
      <c r="I352" s="43" t="inlineStr">
        <is>
          <t>Skip</t>
        </is>
      </c>
      <c r="J352" s="32" t="n"/>
      <c r="K352" s="32" t="inlineStr">
        <is>
          <t>GOLDMINE tail. Category mismatch: heating-oil supplier. NAME PRE-FILTER bulk settle - not individually visited.</t>
        </is>
      </c>
      <c r="L352" s="32" t="inlineStr">
        <is>
          <t>L&amp;I Goldmine triage</t>
        </is>
      </c>
      <c r="M352" s="32" t="inlineStr">
        <is>
          <t>2026-07-02</t>
        </is>
      </c>
    </row>
    <row r="353" ht="29" customHeight="1" s="21">
      <c r="A353" s="32" t="inlineStr">
        <is>
          <t>Bellevue</t>
        </is>
      </c>
      <c r="B353" s="32" t="inlineStr">
        <is>
          <t>Walsh Equipment Repair Inc</t>
        </is>
      </c>
      <c r="C353" s="32" t="inlineStr">
        <is>
          <t>(425) 462-1645</t>
        </is>
      </c>
      <c r="D353" s="32" t="inlineStr">
        <is>
          <t>Unknown</t>
        </is>
      </c>
      <c r="E353" s="32" t="inlineStr">
        <is>
          <t>Not checked</t>
        </is>
      </c>
      <c r="F353" s="32" t="inlineStr">
        <is>
          <t>Not assessed</t>
        </is>
      </c>
      <c r="G353" s="32" t="n"/>
      <c r="H353" s="32" t="n"/>
      <c r="I353" s="43" t="inlineStr">
        <is>
          <t>Skip</t>
        </is>
      </c>
      <c r="J353" s="32" t="n"/>
      <c r="K353" s="32" t="inlineStr">
        <is>
          <t>GOLDMINE tail. Category mismatch: equipment repair. NAME PRE-FILTER bulk settle - not individually visited.</t>
        </is>
      </c>
      <c r="L353" s="32" t="inlineStr">
        <is>
          <t>L&amp;I Goldmine triage</t>
        </is>
      </c>
      <c r="M353" s="32" t="inlineStr">
        <is>
          <t>2026-07-02</t>
        </is>
      </c>
    </row>
    <row r="354" ht="43.5" customHeight="1" s="21">
      <c r="A354" s="32" t="inlineStr">
        <is>
          <t>Vancouver</t>
        </is>
      </c>
      <c r="B354" s="32" t="inlineStr">
        <is>
          <t>Precision Sheetmetal &amp; Htg Inc</t>
        </is>
      </c>
      <c r="C354" s="32" t="inlineStr">
        <is>
          <t>(503) 939-8600</t>
        </is>
      </c>
      <c r="D354" s="32" t="inlineStr">
        <is>
          <t>Unknown</t>
        </is>
      </c>
      <c r="E354" s="32" t="inlineStr">
        <is>
          <t>Not checked</t>
        </is>
      </c>
      <c r="F354" s="32" t="inlineStr">
        <is>
          <t>Not assessed</t>
        </is>
      </c>
      <c r="G354" s="32" t="n"/>
      <c r="H354" s="32" t="n"/>
      <c r="I354" s="43" t="inlineStr">
        <is>
          <t>Skip</t>
        </is>
      </c>
      <c r="J354" s="32" t="n"/>
      <c r="K354" s="32" t="inlineStr">
        <is>
          <t>GOLDMINE tail. Category mismatch: sheet metal; 503 Portland phone on L&amp;I. NAME PRE-FILTER bulk settle - not individually visited.</t>
        </is>
      </c>
      <c r="L354" s="32" t="inlineStr">
        <is>
          <t>L&amp;I Goldmine triage</t>
        </is>
      </c>
      <c r="M354" s="32" t="inlineStr">
        <is>
          <t>2026-07-02</t>
        </is>
      </c>
    </row>
    <row r="355" ht="43.5" customHeight="1" s="21">
      <c r="A355" s="32" t="inlineStr">
        <is>
          <t>Seattle</t>
        </is>
      </c>
      <c r="B355" s="32" t="inlineStr">
        <is>
          <t>ACCO Engineered Systems Inc</t>
        </is>
      </c>
      <c r="C355" s="32" t="inlineStr">
        <is>
          <t>(206) 787-8500</t>
        </is>
      </c>
      <c r="D355" s="32" t="inlineStr">
        <is>
          <t>Unknown</t>
        </is>
      </c>
      <c r="E355" s="32" t="inlineStr">
        <is>
          <t>Not checked</t>
        </is>
      </c>
      <c r="F355" s="32" t="inlineStr">
        <is>
          <t>Not assessed</t>
        </is>
      </c>
      <c r="G355" s="32" t="n"/>
      <c r="H355" s="32" t="n"/>
      <c r="I355" s="43" t="inlineStr">
        <is>
          <t>Skip</t>
        </is>
      </c>
      <c r="J355" s="32" t="n"/>
      <c r="K355" s="32" t="inlineStr">
        <is>
          <t>GOLDMINE tail. Category mismatch: national commercial giant (CT Corp registered agent). NAME PRE-FILTER bulk settle - not individually visited.</t>
        </is>
      </c>
      <c r="L355" s="32" t="inlineStr">
        <is>
          <t>L&amp;I Goldmine triage</t>
        </is>
      </c>
      <c r="M355" s="32" t="inlineStr">
        <is>
          <t>2026-07-02</t>
        </is>
      </c>
    </row>
    <row r="356" ht="43.5" customHeight="1" s="21">
      <c r="A356" s="32" t="inlineStr">
        <is>
          <t>Redmond</t>
        </is>
      </c>
      <c r="B356" s="32" t="inlineStr">
        <is>
          <t>Overlake Htg AC Sheetmetal LLC</t>
        </is>
      </c>
      <c r="C356" s="32" t="inlineStr">
        <is>
          <t>(425) 885-1224</t>
        </is>
      </c>
      <c r="D356" s="32" t="inlineStr">
        <is>
          <t>Unknown</t>
        </is>
      </c>
      <c r="E356" s="32" t="inlineStr">
        <is>
          <t>Not checked</t>
        </is>
      </c>
      <c r="F356" s="32" t="inlineStr">
        <is>
          <t>Not assessed</t>
        </is>
      </c>
      <c r="G356" s="32" t="n"/>
      <c r="H356" s="32" t="n"/>
      <c r="I356" s="43" t="inlineStr">
        <is>
          <t>Skip</t>
        </is>
      </c>
      <c r="J356" s="32" t="n"/>
      <c r="K356" s="32" t="inlineStr">
        <is>
          <t>GOLDMINE tail. Category mismatch: sheet metal name pre-filter. NAME PRE-FILTER bulk settle - not individually visited.</t>
        </is>
      </c>
      <c r="L356" s="32" t="inlineStr">
        <is>
          <t>L&amp;I Goldmine triage</t>
        </is>
      </c>
      <c r="M356" s="32" t="inlineStr">
        <is>
          <t>2026-07-02</t>
        </is>
      </c>
    </row>
    <row r="357" ht="43.5" customHeight="1" s="21">
      <c r="A357" s="32" t="inlineStr">
        <is>
          <t>Seattle</t>
        </is>
      </c>
      <c r="B357" s="32" t="inlineStr">
        <is>
          <t>Commercial Filter Sales &amp; Svc</t>
        </is>
      </c>
      <c r="C357" s="32" t="inlineStr">
        <is>
          <t>(206) 447-6933</t>
        </is>
      </c>
      <c r="D357" s="32" t="inlineStr">
        <is>
          <t>Unknown</t>
        </is>
      </c>
      <c r="E357" s="32" t="inlineStr">
        <is>
          <t>Not checked</t>
        </is>
      </c>
      <c r="F357" s="32" t="inlineStr">
        <is>
          <t>Not assessed</t>
        </is>
      </c>
      <c r="G357" s="32" t="n"/>
      <c r="H357" s="32" t="n"/>
      <c r="I357" s="43" t="inlineStr">
        <is>
          <t>Skip</t>
        </is>
      </c>
      <c r="J357" s="32" t="n"/>
      <c r="K357" s="32" t="inlineStr">
        <is>
          <t>GOLDMINE tail. Category mismatch: commercial filter supplier. NAME PRE-FILTER bulk settle - not individually visited.</t>
        </is>
      </c>
      <c r="L357" s="32" t="inlineStr">
        <is>
          <t>L&amp;I Goldmine triage</t>
        </is>
      </c>
      <c r="M357" s="32" t="inlineStr">
        <is>
          <t>2026-07-02</t>
        </is>
      </c>
    </row>
    <row r="358" ht="29" customHeight="1" s="21">
      <c r="A358" s="32" t="inlineStr">
        <is>
          <t>Lakewood</t>
        </is>
      </c>
      <c r="B358" s="32" t="inlineStr">
        <is>
          <t>Joon's Appliance Service</t>
        </is>
      </c>
      <c r="C358" s="32" t="inlineStr">
        <is>
          <t>(253) 535-2903</t>
        </is>
      </c>
      <c r="D358" s="32" t="inlineStr">
        <is>
          <t>Unknown</t>
        </is>
      </c>
      <c r="E358" s="32" t="inlineStr">
        <is>
          <t>Not checked</t>
        </is>
      </c>
      <c r="F358" s="32" t="inlineStr">
        <is>
          <t>Not assessed</t>
        </is>
      </c>
      <c r="G358" s="32" t="n"/>
      <c r="H358" s="32" t="n"/>
      <c r="I358" s="43" t="inlineStr">
        <is>
          <t>Skip</t>
        </is>
      </c>
      <c r="J358" s="32" t="n"/>
      <c r="K358" s="32" t="inlineStr">
        <is>
          <t>GOLDMINE tail. Category mismatch: appliance repair. NAME PRE-FILTER bulk settle - not individually visited.</t>
        </is>
      </c>
      <c r="L358" s="32" t="inlineStr">
        <is>
          <t>L&amp;I Goldmine triage</t>
        </is>
      </c>
      <c r="M358" s="32" t="inlineStr">
        <is>
          <t>2026-07-02</t>
        </is>
      </c>
    </row>
    <row r="359" ht="29" customHeight="1" s="21">
      <c r="A359" s="32" t="inlineStr">
        <is>
          <t>Spanaway (Tacoma)</t>
        </is>
      </c>
      <c r="B359" s="32" t="inlineStr">
        <is>
          <t>All Seasons Heating &amp; Climate Control</t>
        </is>
      </c>
      <c r="C359" s="32" t="inlineStr">
        <is>
          <t>(253) 473-2778</t>
        </is>
      </c>
      <c r="D359" s="32" t="inlineStr">
        <is>
          <t>Yes</t>
        </is>
      </c>
      <c r="E359" s="32" t="inlineStr">
        <is>
          <t>allseasonsheatingtac.com</t>
        </is>
      </c>
      <c r="F359" s="32" t="inlineStr">
        <is>
          <t>Not assessed</t>
        </is>
      </c>
      <c r="G359" s="32" t="inlineStr">
        <is>
          <t>4.0</t>
        </is>
      </c>
      <c r="H359" s="32" t="inlineStr">
        <is>
          <t>16</t>
        </is>
      </c>
      <c r="I359" s="43" t="inlineStr">
        <is>
          <t>Skip</t>
        </is>
      </c>
      <c r="J359" s="32" t="n"/>
      <c r="K359" s="32" t="inlineStr">
        <is>
          <t>GOLDMINE tail. Actively managed (GMB marketing post June 2026) + under review bar. STEP 24.</t>
        </is>
      </c>
      <c r="L359" s="32" t="inlineStr">
        <is>
          <t>L&amp;I Goldmine triage</t>
        </is>
      </c>
      <c r="M359" s="32" t="inlineStr">
        <is>
          <t>2026-07-02</t>
        </is>
      </c>
    </row>
    <row r="360" ht="29" customHeight="1" s="21">
      <c r="A360" s="32" t="inlineStr">
        <is>
          <t>Everett</t>
        </is>
      </c>
      <c r="B360" s="32" t="inlineStr">
        <is>
          <t>Williams Mechanical Inc</t>
        </is>
      </c>
      <c r="C360" s="32" t="inlineStr">
        <is>
          <t>(425) 303-0828</t>
        </is>
      </c>
      <c r="D360" s="32" t="inlineStr">
        <is>
          <t>Yes</t>
        </is>
      </c>
      <c r="E360" s="32" t="inlineStr">
        <is>
          <t>williams-mechanical.com</t>
        </is>
      </c>
      <c r="F360" s="32" t="inlineStr">
        <is>
          <t>Not assessed</t>
        </is>
      </c>
      <c r="G360" s="32" t="inlineStr">
        <is>
          <t>4.0</t>
        </is>
      </c>
      <c r="H360" s="32" t="inlineStr">
        <is>
          <t>4</t>
        </is>
      </c>
      <c r="I360" s="43" t="inlineStr">
        <is>
          <t>Skip</t>
        </is>
      </c>
      <c r="J360" s="32" t="n"/>
      <c r="K360" s="32" t="inlineStr">
        <is>
          <t>GOLDMINE tail. Commercial mechanical lean, 4.0/4 rating-only reviews.</t>
        </is>
      </c>
      <c r="L360" s="32" t="inlineStr">
        <is>
          <t>L&amp;I Goldmine triage</t>
        </is>
      </c>
      <c r="M360" s="32" t="inlineStr">
        <is>
          <t>2026-07-02</t>
        </is>
      </c>
    </row>
    <row r="361" ht="29" customHeight="1" s="21">
      <c r="A361" s="32" t="inlineStr">
        <is>
          <t>Seattle</t>
        </is>
      </c>
      <c r="B361" s="32" t="inlineStr">
        <is>
          <t>Joanis Mechanical</t>
        </is>
      </c>
      <c r="C361" s="32" t="inlineStr">
        <is>
          <t>(206) 446-7927</t>
        </is>
      </c>
      <c r="D361" s="32" t="inlineStr">
        <is>
          <t>No</t>
        </is>
      </c>
      <c r="E361" s="32" t="inlineStr">
        <is>
          <t>N/A</t>
        </is>
      </c>
      <c r="F361" s="32" t="inlineStr">
        <is>
          <t>N/A</t>
        </is>
      </c>
      <c r="G361" s="32" t="inlineStr">
        <is>
          <t>4.0</t>
        </is>
      </c>
      <c r="H361" s="32" t="inlineStr">
        <is>
          <t>4</t>
        </is>
      </c>
      <c r="I361" s="43" t="inlineStr">
        <is>
          <t>Skip</t>
        </is>
      </c>
      <c r="J361" s="32" t="n"/>
      <c r="K361" s="32" t="inlineStr">
        <is>
          <t>GOLDMINE tail. Commercial refrigeration lean (emergency freezer work) + owner no-callback complaint. 4.0/4.</t>
        </is>
      </c>
      <c r="L361" s="32" t="inlineStr">
        <is>
          <t>L&amp;I Goldmine triage</t>
        </is>
      </c>
      <c r="M361" s="32" t="inlineStr">
        <is>
          <t>2026-07-02</t>
        </is>
      </c>
    </row>
  </sheetData>
  <autoFilter ref="A1:M8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28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20" min="1" max="1"/>
    <col width="18" customWidth="1" style="20" min="2" max="2"/>
    <col width="14" customWidth="1" style="20" min="3" max="4"/>
    <col width="13" customWidth="1" style="20" min="5" max="5"/>
    <col width="15" customWidth="1" style="20" min="6" max="6"/>
    <col width="18" customWidth="1" style="20" min="7" max="7"/>
    <col width="50" customWidth="1" style="20" min="8" max="8"/>
  </cols>
  <sheetData>
    <row r="1" ht="15" customHeight="1" s="21">
      <c r="A1" s="23" t="inlineStr">
        <is>
          <t>Business Name</t>
        </is>
      </c>
      <c r="B1" s="23" t="inlineStr">
        <is>
          <t>City</t>
        </is>
      </c>
      <c r="C1" s="23" t="inlineStr">
        <is>
          <t>Phone</t>
        </is>
      </c>
      <c r="D1" s="23" t="inlineStr">
        <is>
          <t>License Since</t>
        </is>
      </c>
      <c r="E1" s="23" t="inlineStr">
        <is>
          <t>Years Licensed</t>
        </is>
      </c>
      <c r="F1" s="23" t="inlineStr">
        <is>
          <t>Already in Sheet?</t>
        </is>
      </c>
      <c r="G1" s="23" t="inlineStr">
        <is>
          <t>Triage Result</t>
        </is>
      </c>
      <c r="H1" s="23" t="inlineStr">
        <is>
          <t>Notes</t>
        </is>
      </c>
      <c r="I1" s="20" t="inlineStr">
        <is>
          <t>Geo Tier</t>
        </is>
      </c>
    </row>
    <row r="2" ht="15" customHeight="1" s="21">
      <c r="A2" s="26" t="inlineStr">
        <is>
          <t>L &amp; K Heating</t>
        </is>
      </c>
      <c r="B2" s="26" t="inlineStr">
        <is>
          <t>Nine Mile Falls</t>
        </is>
      </c>
      <c r="C2" s="26" t="inlineStr">
        <is>
          <t>5097685601</t>
        </is>
      </c>
      <c r="D2" s="26" t="inlineStr">
        <is>
          <t>1981-03-19</t>
        </is>
      </c>
      <c r="E2" s="26" t="n">
        <v>45.3</v>
      </c>
      <c r="F2" s="26" t="n"/>
      <c r="G2" s="26" t="inlineStr">
        <is>
          <t>Hot - logged</t>
        </is>
      </c>
      <c r="H2" s="26" t="n"/>
      <c r="I2" s="20" t="n">
        <v>1</v>
      </c>
    </row>
    <row r="3" ht="15" customHeight="1" s="21">
      <c r="A3" s="26" t="inlineStr">
        <is>
          <t>Todd Sheet Metal</t>
        </is>
      </c>
      <c r="B3" s="26" t="inlineStr">
        <is>
          <t>Suquamish</t>
        </is>
      </c>
      <c r="C3" s="26" t="inlineStr">
        <is>
          <t>3605984517</t>
        </is>
      </c>
      <c r="D3" s="26" t="inlineStr">
        <is>
          <t>1981-07-01</t>
        </is>
      </c>
      <c r="E3" s="26" t="n">
        <v>45</v>
      </c>
      <c r="F3" s="26" t="n"/>
      <c r="G3" s="26" t="inlineStr">
        <is>
          <t>Hot - logged</t>
        </is>
      </c>
      <c r="H3" s="26" t="n"/>
      <c r="I3" s="20" t="n">
        <v>1</v>
      </c>
    </row>
    <row r="4" ht="15" customHeight="1" s="21">
      <c r="A4" s="26" t="inlineStr">
        <is>
          <t>Action Heating/Air Condtng</t>
        </is>
      </c>
      <c r="B4" s="26" t="inlineStr">
        <is>
          <t>Carnation</t>
        </is>
      </c>
      <c r="C4" s="26" t="inlineStr">
        <is>
          <t>4254511464</t>
        </is>
      </c>
      <c r="D4" s="26" t="inlineStr">
        <is>
          <t>1983-07-15</t>
        </is>
      </c>
      <c r="E4" s="26" t="n">
        <v>43</v>
      </c>
      <c r="F4" s="26" t="n"/>
      <c r="G4" s="26" t="inlineStr">
        <is>
          <t>Watch - logged</t>
        </is>
      </c>
      <c r="H4" s="26" t="n"/>
      <c r="I4" s="20" t="n">
        <v>1</v>
      </c>
    </row>
    <row r="5" ht="15" customHeight="1" s="21">
      <c r="A5" s="26" t="inlineStr">
        <is>
          <t>Comfort Mechanical Contrs Inc</t>
        </is>
      </c>
      <c r="B5" s="26" t="inlineStr">
        <is>
          <t>Greenacres</t>
        </is>
      </c>
      <c r="C5" s="26" t="inlineStr">
        <is>
          <t>5099280207</t>
        </is>
      </c>
      <c r="D5" s="26" t="inlineStr">
        <is>
          <t>1997-05-07</t>
        </is>
      </c>
      <c r="E5" s="26" t="n">
        <v>29.2</v>
      </c>
      <c r="F5" s="26" t="n"/>
      <c r="G5" s="26" t="inlineStr">
        <is>
          <t>Watch - logged</t>
        </is>
      </c>
      <c r="H5" s="26" t="n"/>
      <c r="I5" s="20" t="n">
        <v>1</v>
      </c>
    </row>
    <row r="6" ht="15" customHeight="1" s="21">
      <c r="A6" s="26" t="inlineStr">
        <is>
          <t>Naylors Appliance &amp; Refrigertn</t>
        </is>
      </c>
      <c r="B6" s="26" t="inlineStr">
        <is>
          <t>Tonasket</t>
        </is>
      </c>
      <c r="C6" s="26" t="inlineStr">
        <is>
          <t>5094862351</t>
        </is>
      </c>
      <c r="D6" s="26" t="inlineStr">
        <is>
          <t>1997-08-22</t>
        </is>
      </c>
      <c r="E6" s="26" t="n">
        <v>28.9</v>
      </c>
      <c r="F6" s="26" t="n"/>
      <c r="G6" s="26" t="inlineStr">
        <is>
          <t>Hot - logged</t>
        </is>
      </c>
      <c r="H6" s="26" t="n"/>
      <c r="I6" s="20" t="n">
        <v>1</v>
      </c>
    </row>
    <row r="7" ht="15" customHeight="1" s="21">
      <c r="A7" s="26" t="inlineStr">
        <is>
          <t>Dr Cool Inc</t>
        </is>
      </c>
      <c r="B7" s="26" t="inlineStr">
        <is>
          <t>Sumner</t>
        </is>
      </c>
      <c r="C7" s="26" t="inlineStr">
        <is>
          <t>2538635665</t>
        </is>
      </c>
      <c r="D7" s="26" t="inlineStr">
        <is>
          <t>1998-11-05</t>
        </is>
      </c>
      <c r="E7" s="26" t="n">
        <v>27.7</v>
      </c>
      <c r="F7" s="26" t="n"/>
      <c r="G7" s="26" t="inlineStr">
        <is>
          <t>Skip - logged</t>
        </is>
      </c>
      <c r="H7" s="26" t="n"/>
      <c r="I7" s="20" t="n">
        <v>1</v>
      </c>
    </row>
    <row r="8" ht="15" customHeight="1" s="21">
      <c r="A8" s="26" t="inlineStr">
        <is>
          <t>Action Plumbing &amp; Htg Inc</t>
        </is>
      </c>
      <c r="B8" s="26" t="inlineStr">
        <is>
          <t>Dryden</t>
        </is>
      </c>
      <c r="C8" s="26" t="inlineStr">
        <is>
          <t>5095484458</t>
        </is>
      </c>
      <c r="D8" s="26" t="inlineStr">
        <is>
          <t>2000-02-28</t>
        </is>
      </c>
      <c r="E8" s="26" t="n">
        <v>26.3</v>
      </c>
      <c r="F8" s="26" t="n"/>
      <c r="G8" s="26" t="inlineStr">
        <is>
          <t>Watch - logged</t>
        </is>
      </c>
      <c r="H8" s="26" t="n"/>
      <c r="I8" s="20" t="n">
        <v>1</v>
      </c>
    </row>
    <row r="9" ht="15" customHeight="1" s="21">
      <c r="A9" s="26" t="inlineStr">
        <is>
          <t>Carlson'S Heating &amp; A/C Inc</t>
        </is>
      </c>
      <c r="B9" s="26" t="inlineStr">
        <is>
          <t>Kelso</t>
        </is>
      </c>
      <c r="C9" s="26" t="inlineStr">
        <is>
          <t>3604254888</t>
        </is>
      </c>
      <c r="D9" s="26" t="inlineStr">
        <is>
          <t>2000-02-28</t>
        </is>
      </c>
      <c r="E9" s="26" t="n">
        <v>26.3</v>
      </c>
      <c r="F9" s="26" t="n"/>
      <c r="G9" s="26" t="inlineStr">
        <is>
          <t>Skip - logged</t>
        </is>
      </c>
      <c r="H9" s="26" t="n"/>
      <c r="I9" s="20" t="n">
        <v>1</v>
      </c>
    </row>
    <row r="10" ht="15" customHeight="1" s="21">
      <c r="A10" s="26" t="inlineStr">
        <is>
          <t>Mantey Heating</t>
        </is>
      </c>
      <c r="B10" s="26" t="inlineStr">
        <is>
          <t>Moxee</t>
        </is>
      </c>
      <c r="C10" s="26" t="inlineStr">
        <is>
          <t>5099665520</t>
        </is>
      </c>
      <c r="D10" s="26" t="inlineStr">
        <is>
          <t>2000-02-28</t>
        </is>
      </c>
      <c r="E10" s="26" t="n">
        <v>26.3</v>
      </c>
      <c r="F10" s="26" t="n"/>
      <c r="G10" s="26" t="inlineStr">
        <is>
          <t>Skip - logged (closed)</t>
        </is>
      </c>
      <c r="H10" s="26" t="n"/>
      <c r="I10" s="20" t="n">
        <v>1</v>
      </c>
    </row>
    <row r="11" ht="15" customHeight="1" s="21">
      <c r="A11" s="26" t="inlineStr">
        <is>
          <t>Accent Heating &amp; Cooling Llc</t>
        </is>
      </c>
      <c r="B11" s="26" t="inlineStr">
        <is>
          <t>Brush Prairie</t>
        </is>
      </c>
      <c r="C11" s="26" t="inlineStr">
        <is>
          <t>3608851940</t>
        </is>
      </c>
      <c r="D11" s="26" t="inlineStr">
        <is>
          <t>2000-03-01</t>
        </is>
      </c>
      <c r="E11" s="26" t="n">
        <v>26.3</v>
      </c>
      <c r="F11" s="26" t="n"/>
      <c r="G11" s="26" t="inlineStr">
        <is>
          <t>Warm - logged</t>
        </is>
      </c>
      <c r="H11" s="26" t="n"/>
      <c r="I11" s="20" t="n">
        <v>1</v>
      </c>
    </row>
    <row r="12" ht="15" customHeight="1" s="21">
      <c r="A12" s="26" t="inlineStr">
        <is>
          <t>Morris Plumbing &amp; Heating</t>
        </is>
      </c>
      <c r="B12" s="26" t="inlineStr">
        <is>
          <t>Eastsound</t>
        </is>
      </c>
      <c r="C12" s="26" t="inlineStr">
        <is>
          <t>3603176104</t>
        </is>
      </c>
      <c r="D12" s="26" t="inlineStr">
        <is>
          <t>2000-03-01</t>
        </is>
      </c>
      <c r="E12" s="26" t="n">
        <v>26.3</v>
      </c>
      <c r="F12" s="26" t="n"/>
      <c r="G12" s="26" t="inlineStr">
        <is>
          <t>Hot - logged</t>
        </is>
      </c>
      <c r="H12" s="26" t="n"/>
      <c r="I12" s="20" t="n">
        <v>1</v>
      </c>
    </row>
    <row r="13" ht="15" customHeight="1" s="21">
      <c r="A13" s="26" t="inlineStr">
        <is>
          <t>Action Heating &amp; Air Cond</t>
        </is>
      </c>
      <c r="B13" s="26" t="inlineStr">
        <is>
          <t>Carnation</t>
        </is>
      </c>
      <c r="C13" s="26" t="inlineStr">
        <is>
          <t>4254511464</t>
        </is>
      </c>
      <c r="D13" s="26" t="inlineStr">
        <is>
          <t>2000-03-02</t>
        </is>
      </c>
      <c r="E13" s="26" t="n">
        <v>26.3</v>
      </c>
      <c r="F13" s="26" t="n"/>
      <c r="G13" s="26" t="inlineStr">
        <is>
          <t>Watch - logged</t>
        </is>
      </c>
      <c r="H13" s="26" t="n"/>
      <c r="I13" s="20" t="n">
        <v>1</v>
      </c>
    </row>
    <row r="14" ht="15" customHeight="1" s="21">
      <c r="A14" s="26" t="inlineStr">
        <is>
          <t>Twin City Srvc Co Inc</t>
        </is>
      </c>
      <c r="B14" s="26" t="inlineStr">
        <is>
          <t>Kelso</t>
        </is>
      </c>
      <c r="C14" s="26" t="inlineStr">
        <is>
          <t>3604253320</t>
        </is>
      </c>
      <c r="D14" s="26" t="inlineStr">
        <is>
          <t>2000-04-24</t>
        </is>
      </c>
      <c r="E14" s="26" t="n">
        <v>26.2</v>
      </c>
      <c r="F14" s="26" t="n"/>
      <c r="G14" s="26" t="inlineStr">
        <is>
          <t>Warm - logged</t>
        </is>
      </c>
      <c r="H14" s="26" t="inlineStr">
        <is>
          <t>PASF intel 2026-07-02: GMB "Twin City Service Co" 4.9/74 - meets bar, check website when triaged</t>
        </is>
      </c>
      <c r="I14" s="20" t="n">
        <v>1</v>
      </c>
    </row>
    <row r="15" ht="15" customHeight="1" s="21">
      <c r="A15" s="26" t="inlineStr">
        <is>
          <t>Sea Aire Inc</t>
        </is>
      </c>
      <c r="B15" s="26" t="inlineStr">
        <is>
          <t>Algona</t>
        </is>
      </c>
      <c r="C15" s="26" t="inlineStr">
        <is>
          <t>2065758051</t>
        </is>
      </c>
      <c r="D15" s="26" t="inlineStr">
        <is>
          <t>2000-05-12</t>
        </is>
      </c>
      <c r="E15" s="26" t="n">
        <v>26.1</v>
      </c>
      <c r="F15" s="26" t="n"/>
      <c r="G15" s="26" t="inlineStr">
        <is>
          <t>Skip - logged</t>
        </is>
      </c>
      <c r="H15" s="26" t="n"/>
      <c r="I15" s="20" t="n">
        <v>1</v>
      </c>
    </row>
    <row r="16" ht="15" customHeight="1" s="21">
      <c r="A16" s="26" t="inlineStr">
        <is>
          <t>Naylor'S Appliance/Refrig Inc</t>
        </is>
      </c>
      <c r="B16" s="26" t="inlineStr">
        <is>
          <t>Tonasket</t>
        </is>
      </c>
      <c r="C16" s="26" t="inlineStr">
        <is>
          <t>5094862351</t>
        </is>
      </c>
      <c r="D16" s="26" t="inlineStr">
        <is>
          <t>2000-05-15</t>
        </is>
      </c>
      <c r="E16" s="26" t="n">
        <v>26.1</v>
      </c>
      <c r="F16" s="26" t="n"/>
      <c r="G16" s="26" t="inlineStr">
        <is>
          <t>Hot - logged</t>
        </is>
      </c>
      <c r="H16" s="26" t="n"/>
      <c r="I16" s="20" t="n">
        <v>1</v>
      </c>
    </row>
    <row r="17" ht="15" customHeight="1" s="21">
      <c r="A17" s="26" t="inlineStr">
        <is>
          <t>Comfort Air Systems</t>
        </is>
      </c>
      <c r="B17" s="26" t="inlineStr">
        <is>
          <t>Orting</t>
        </is>
      </c>
      <c r="C17" s="26" t="inlineStr">
        <is>
          <t>2532274670</t>
        </is>
      </c>
      <c r="D17" s="26" t="inlineStr">
        <is>
          <t>2000-06-28</t>
        </is>
      </c>
      <c r="E17" s="26" t="n">
        <v>26</v>
      </c>
      <c r="F17" s="26" t="n"/>
      <c r="G17" s="26" t="inlineStr">
        <is>
          <t>Skip - logged</t>
        </is>
      </c>
      <c r="H17" s="26" t="n"/>
      <c r="I17" s="20" t="n">
        <v>1</v>
      </c>
    </row>
    <row r="18" ht="15" customHeight="1" s="21">
      <c r="A18" s="26" t="inlineStr">
        <is>
          <t>Orca Heating &amp; A/C</t>
        </is>
      </c>
      <c r="B18" s="26" t="inlineStr">
        <is>
          <t>Quil Ceda Village</t>
        </is>
      </c>
      <c r="C18" s="26" t="inlineStr">
        <is>
          <t>4253599208</t>
        </is>
      </c>
      <c r="D18" s="26" t="inlineStr">
        <is>
          <t>2001-03-08</t>
        </is>
      </c>
      <c r="E18" s="26" t="n">
        <v>25.3</v>
      </c>
      <c r="F18" s="26" t="n"/>
      <c r="G18" s="26" t="inlineStr">
        <is>
          <t>RE-CHECK - phone mismatch vs GMB</t>
        </is>
      </c>
      <c r="H18" s="26" t="inlineStr">
        <is>
          <t xml:space="preserve"> L&amp;I ph 4253599208 != Tulalip GMB 4255082484; skipped GMB may be different company. Call L&amp;I number.</t>
        </is>
      </c>
      <c r="I18" s="20" t="n">
        <v>1</v>
      </c>
    </row>
    <row r="19" ht="15" customHeight="1" s="21">
      <c r="A19" s="26" t="inlineStr">
        <is>
          <t>Freels Refrigeration</t>
        </is>
      </c>
      <c r="B19" s="26" t="inlineStr">
        <is>
          <t>Omak</t>
        </is>
      </c>
      <c r="C19" s="26" t="inlineStr">
        <is>
          <t>5098265492</t>
        </is>
      </c>
      <c r="D19" s="26" t="inlineStr">
        <is>
          <t>2001-03-21</t>
        </is>
      </c>
      <c r="E19" s="26" t="n">
        <v>25.3</v>
      </c>
      <c r="F19" s="26" t="n"/>
      <c r="G19" s="26" t="inlineStr">
        <is>
          <t>Hot - logged</t>
        </is>
      </c>
      <c r="H19" s="26" t="n"/>
      <c r="I19" s="20" t="n">
        <v>1</v>
      </c>
    </row>
    <row r="20" ht="15" customHeight="1" s="21">
      <c r="A20" s="26" t="inlineStr">
        <is>
          <t>Terry'S Appliance Service</t>
        </is>
      </c>
      <c r="B20" s="26" t="inlineStr">
        <is>
          <t>Winthrop</t>
        </is>
      </c>
      <c r="C20" s="26" t="inlineStr">
        <is>
          <t>5099963741</t>
        </is>
      </c>
      <c r="D20" s="26" t="inlineStr">
        <is>
          <t>2001-06-29</t>
        </is>
      </c>
      <c r="E20" s="26" t="n">
        <v>25</v>
      </c>
      <c r="F20" s="26" t="n"/>
      <c r="G20" s="26" t="inlineStr">
        <is>
          <t>Skip - logged</t>
        </is>
      </c>
      <c r="H20" s="26" t="n"/>
      <c r="I20" s="20" t="n">
        <v>1</v>
      </c>
    </row>
    <row r="21" ht="15" customHeight="1" s="21">
      <c r="A21" s="26" t="inlineStr">
        <is>
          <t>Olympic Heating &amp; Cooling Llc</t>
        </is>
      </c>
      <c r="B21" s="26" t="inlineStr">
        <is>
          <t>Shelton</t>
        </is>
      </c>
      <c r="C21" s="26" t="inlineStr">
        <is>
          <t>3604269945</t>
        </is>
      </c>
      <c r="D21" s="26" t="inlineStr">
        <is>
          <t>2001-12-31</t>
        </is>
      </c>
      <c r="E21" s="26" t="n">
        <v>24.5</v>
      </c>
      <c r="F21" s="26" t="n"/>
      <c r="G21" s="26" t="inlineStr">
        <is>
          <t>Skip - logged</t>
        </is>
      </c>
      <c r="H21" s="26" t="n"/>
      <c r="I21" s="20" t="n">
        <v>1</v>
      </c>
    </row>
    <row r="22" ht="15" customHeight="1" s="21">
      <c r="A22" s="26" t="inlineStr">
        <is>
          <t>D K Systems Inc</t>
        </is>
      </c>
      <c r="B22" s="26" t="inlineStr">
        <is>
          <t>Burlington</t>
        </is>
      </c>
      <c r="C22" s="26" t="inlineStr">
        <is>
          <t>3607551555</t>
        </is>
      </c>
      <c r="D22" s="26" t="inlineStr">
        <is>
          <t>2002-07-26</t>
        </is>
      </c>
      <c r="E22" s="26" t="n">
        <v>23.9</v>
      </c>
      <c r="F22" s="26" t="n"/>
      <c r="G22" s="26" t="inlineStr">
        <is>
          <t>Watch - logged</t>
        </is>
      </c>
      <c r="H22" s="26" t="n"/>
      <c r="I22" s="20" t="n">
        <v>1</v>
      </c>
    </row>
    <row r="23" ht="15" customHeight="1" s="21">
      <c r="A23" s="26" t="inlineStr">
        <is>
          <t>Compass Mechanical Llc</t>
        </is>
      </c>
      <c r="B23" s="26" t="inlineStr">
        <is>
          <t>Coulee City</t>
        </is>
      </c>
      <c r="C23" s="26" t="inlineStr">
        <is>
          <t>5097592321</t>
        </is>
      </c>
      <c r="D23" s="26" t="inlineStr">
        <is>
          <t>2002-08-02</t>
        </is>
      </c>
      <c r="E23" s="26" t="n">
        <v>23.9</v>
      </c>
      <c r="F23" s="26" t="n"/>
      <c r="G23" s="26" t="inlineStr">
        <is>
          <t>Hot - logged</t>
        </is>
      </c>
      <c r="H23" s="26" t="n"/>
      <c r="I23" s="20" t="n">
        <v>1</v>
      </c>
    </row>
    <row r="24" ht="15" customHeight="1" s="21">
      <c r="A24" s="26" t="inlineStr">
        <is>
          <t>T &amp; M Heating &amp; Refrig Inc</t>
        </is>
      </c>
      <c r="B24" s="26" t="inlineStr">
        <is>
          <t>Union Gap</t>
        </is>
      </c>
      <c r="C24" s="26" t="inlineStr">
        <is>
          <t>5095751088</t>
        </is>
      </c>
      <c r="D24" s="26" t="inlineStr">
        <is>
          <t>2002-08-19</t>
        </is>
      </c>
      <c r="E24" s="26" t="n">
        <v>23.9</v>
      </c>
      <c r="F24" s="26" t="n"/>
      <c r="G24" s="26" t="inlineStr">
        <is>
          <t>Hot - logged</t>
        </is>
      </c>
      <c r="H24" s="26" t="n"/>
      <c r="I24" s="20" t="n">
        <v>1</v>
      </c>
    </row>
    <row r="25" ht="15" customHeight="1" s="21">
      <c r="A25" s="26" t="inlineStr">
        <is>
          <t>Tradesman'S Mechanical Service</t>
        </is>
      </c>
      <c r="B25" s="26" t="inlineStr">
        <is>
          <t>Oakville</t>
        </is>
      </c>
      <c r="C25" s="26" t="inlineStr">
        <is>
          <t>3602809270</t>
        </is>
      </c>
      <c r="D25" s="26" t="inlineStr">
        <is>
          <t>2002-12-19</t>
        </is>
      </c>
      <c r="E25" s="26" t="n">
        <v>23.5</v>
      </c>
      <c r="F25" s="26" t="n"/>
      <c r="G25" s="26" t="inlineStr">
        <is>
          <t>Hot - logged</t>
        </is>
      </c>
      <c r="H25" s="26" t="n"/>
      <c r="I25" s="20" t="n">
        <v>1</v>
      </c>
    </row>
    <row r="26" ht="15" customHeight="1" s="21">
      <c r="A26" s="26" t="inlineStr">
        <is>
          <t>Thermal Air Llc</t>
        </is>
      </c>
      <c r="B26" s="26" t="inlineStr">
        <is>
          <t>Oroville</t>
        </is>
      </c>
      <c r="C26" s="26" t="inlineStr">
        <is>
          <t>5094763145</t>
        </is>
      </c>
      <c r="D26" s="26" t="inlineStr">
        <is>
          <t>2003-04-02</t>
        </is>
      </c>
      <c r="E26" s="26" t="n">
        <v>23.2</v>
      </c>
      <c r="F26" s="26" t="n"/>
      <c r="G26" s="26" t="inlineStr">
        <is>
          <t>Hot - logged</t>
        </is>
      </c>
      <c r="H26" s="26" t="n"/>
      <c r="I26" s="20" t="n">
        <v>1</v>
      </c>
    </row>
    <row r="27" ht="15" customHeight="1" s="21">
      <c r="A27" s="26" t="inlineStr">
        <is>
          <t>Allencraft Enterprise</t>
        </is>
      </c>
      <c r="B27" s="26" t="inlineStr">
        <is>
          <t>Morton</t>
        </is>
      </c>
      <c r="C27" s="26" t="inlineStr">
        <is>
          <t>3604963244</t>
        </is>
      </c>
      <c r="D27" s="26" t="inlineStr">
        <is>
          <t>2003-05-06</t>
        </is>
      </c>
      <c r="E27" s="26" t="n">
        <v>23.2</v>
      </c>
      <c r="F27" s="26" t="n"/>
      <c r="G27" s="26" t="inlineStr">
        <is>
          <t>Skip - logged</t>
        </is>
      </c>
      <c r="H27" s="26" t="n"/>
      <c r="I27" s="20" t="n">
        <v>1</v>
      </c>
    </row>
    <row r="28" ht="15" customHeight="1" s="21">
      <c r="A28" s="26" t="inlineStr">
        <is>
          <t>Central Energy Products Llc</t>
        </is>
      </c>
      <c r="B28" s="26" t="inlineStr">
        <is>
          <t>Ephrata</t>
        </is>
      </c>
      <c r="C28" s="26" t="inlineStr">
        <is>
          <t>5097602882</t>
        </is>
      </c>
      <c r="D28" s="26" t="inlineStr">
        <is>
          <t>2003-08-19</t>
        </is>
      </c>
      <c r="E28" s="26" t="n">
        <v>22.9</v>
      </c>
      <c r="F28" s="26" t="n"/>
      <c r="G28" s="26" t="inlineStr">
        <is>
          <t>Hot - logged</t>
        </is>
      </c>
      <c r="H28" s="26" t="n"/>
      <c r="I28" s="20" t="n">
        <v>1</v>
      </c>
    </row>
    <row r="29" ht="15" customHeight="1" s="21">
      <c r="A29" s="26" t="inlineStr">
        <is>
          <t>Refresh Llc</t>
        </is>
      </c>
      <c r="B29" s="26" t="inlineStr">
        <is>
          <t>North Bend</t>
        </is>
      </c>
      <c r="C29" s="26" t="inlineStr">
        <is>
          <t>4254503222</t>
        </is>
      </c>
      <c r="D29" s="26" t="inlineStr">
        <is>
          <t>2003-12-18</t>
        </is>
      </c>
      <c r="E29" s="26" t="n">
        <v>22.5</v>
      </c>
      <c r="F29" s="26" t="n"/>
      <c r="G29" s="26" t="inlineStr">
        <is>
          <t>Hot - logged</t>
        </is>
      </c>
      <c r="H29" s="26" t="n"/>
      <c r="I29" s="20" t="n">
        <v>1</v>
      </c>
    </row>
    <row r="30" ht="15" customHeight="1" s="21">
      <c r="A30" s="26" t="inlineStr">
        <is>
          <t>Lopez Heating Systems</t>
        </is>
      </c>
      <c r="B30" s="26" t="inlineStr">
        <is>
          <t>Lopez Island</t>
        </is>
      </c>
      <c r="C30" s="26" t="inlineStr">
        <is>
          <t>3604682574</t>
        </is>
      </c>
      <c r="D30" s="26" t="inlineStr">
        <is>
          <t>2004-02-05</t>
        </is>
      </c>
      <c r="E30" s="26" t="n">
        <v>22.4</v>
      </c>
      <c r="F30" s="26" t="n"/>
      <c r="G30" s="26" t="inlineStr">
        <is>
          <t>Hot - logged</t>
        </is>
      </c>
      <c r="H30" s="26" t="n"/>
      <c r="I30" s="20" t="n">
        <v>1</v>
      </c>
    </row>
    <row r="31" ht="15" customHeight="1" s="21">
      <c r="A31" s="26" t="inlineStr">
        <is>
          <t>Gfr Heating &amp; Cooling Llc</t>
        </is>
      </c>
      <c r="B31" s="26" t="inlineStr">
        <is>
          <t>Milton</t>
        </is>
      </c>
      <c r="C31" s="26" t="inlineStr">
        <is>
          <t>2062443996</t>
        </is>
      </c>
      <c r="D31" s="26" t="inlineStr">
        <is>
          <t>2005-02-14</t>
        </is>
      </c>
      <c r="E31" s="26" t="n">
        <v>21.4</v>
      </c>
      <c r="F31" s="26" t="n"/>
      <c r="G31" s="26" t="inlineStr">
        <is>
          <t>Watch - logged</t>
        </is>
      </c>
      <c r="H31" s="26" t="n"/>
      <c r="I31" s="20" t="n">
        <v>1</v>
      </c>
    </row>
    <row r="32" ht="15" customHeight="1" s="21">
      <c r="A32" s="26" t="inlineStr">
        <is>
          <t>R &amp; H Mechanical Inc</t>
        </is>
      </c>
      <c r="B32" s="26" t="inlineStr">
        <is>
          <t>Burlington</t>
        </is>
      </c>
      <c r="C32" s="26" t="inlineStr">
        <is>
          <t>3607576909</t>
        </is>
      </c>
      <c r="D32" s="26" t="inlineStr">
        <is>
          <t>2005-06-03</t>
        </is>
      </c>
      <c r="E32" s="26" t="n">
        <v>21.1</v>
      </c>
      <c r="F32" s="26" t="inlineStr">
        <is>
          <t>Yes</t>
        </is>
      </c>
      <c r="G32" s="26" t="n"/>
      <c r="H32" s="26" t="n"/>
      <c r="I32" s="20" t="n">
        <v>1</v>
      </c>
    </row>
    <row r="33" ht="15" customHeight="1" s="21">
      <c r="A33" s="26" t="inlineStr">
        <is>
          <t>All Weather Htg A/C &amp; Rfrg Llc</t>
        </is>
      </c>
      <c r="B33" s="26" t="inlineStr">
        <is>
          <t>Snoqualmie</t>
        </is>
      </c>
      <c r="C33" s="26" t="inlineStr">
        <is>
          <t>4254639814</t>
        </is>
      </c>
      <c r="D33" s="26" t="inlineStr">
        <is>
          <t>2006-01-04</t>
        </is>
      </c>
      <c r="E33" s="26" t="n">
        <v>20.5</v>
      </c>
      <c r="F33" s="26" t="n"/>
      <c r="G33" s="26" t="inlineStr">
        <is>
          <t>Skip - logged</t>
        </is>
      </c>
      <c r="H33" s="26" t="n"/>
      <c r="I33" s="20" t="n">
        <v>1</v>
      </c>
    </row>
    <row r="34" ht="15" customHeight="1" s="21">
      <c r="A34" s="26" t="inlineStr">
        <is>
          <t>All Weather Htg A/C/Refrig Llc</t>
        </is>
      </c>
      <c r="B34" s="26" t="inlineStr">
        <is>
          <t>Snoqualmie</t>
        </is>
      </c>
      <c r="C34" s="26" t="inlineStr">
        <is>
          <t>4254639814</t>
        </is>
      </c>
      <c r="D34" s="26" t="inlineStr">
        <is>
          <t>2006-01-04</t>
        </is>
      </c>
      <c r="E34" s="26" t="n">
        <v>20.5</v>
      </c>
      <c r="F34" s="26" t="n"/>
      <c r="G34" s="26" t="inlineStr">
        <is>
          <t>Skip - logged (dup row)</t>
        </is>
      </c>
      <c r="H34" s="26" t="n"/>
      <c r="I34" s="20" t="n">
        <v>1</v>
      </c>
    </row>
    <row r="35" ht="15" customHeight="1" s="21">
      <c r="A35" s="26" t="inlineStr">
        <is>
          <t>Americool Heating And A/C Llc</t>
        </is>
      </c>
      <c r="B35" s="26" t="inlineStr">
        <is>
          <t>Rochester</t>
        </is>
      </c>
      <c r="C35" s="26" t="inlineStr">
        <is>
          <t>3602733300</t>
        </is>
      </c>
      <c r="D35" s="26" t="inlineStr">
        <is>
          <t>2006-01-27</t>
        </is>
      </c>
      <c r="E35" s="26" t="n">
        <v>20.4</v>
      </c>
      <c r="F35" s="26" t="n"/>
      <c r="G35" s="26" t="inlineStr">
        <is>
          <t>Skip - logged</t>
        </is>
      </c>
      <c r="H35" s="26" t="n"/>
      <c r="I35" s="20" t="n">
        <v>1</v>
      </c>
    </row>
    <row r="36" ht="15" customHeight="1" s="21">
      <c r="A36" s="26" t="inlineStr">
        <is>
          <t>Dunsmore Heating &amp; Gas Piping</t>
        </is>
      </c>
      <c r="B36" s="26" t="inlineStr">
        <is>
          <t>Clinton</t>
        </is>
      </c>
      <c r="C36" s="26" t="inlineStr">
        <is>
          <t>3602218567</t>
        </is>
      </c>
      <c r="D36" s="26" t="inlineStr">
        <is>
          <t>2006-02-28</t>
        </is>
      </c>
      <c r="E36" s="26" t="n">
        <v>20.3</v>
      </c>
      <c r="F36" s="26" t="n"/>
      <c r="G36" s="26" t="inlineStr">
        <is>
          <t>Hot - logged</t>
        </is>
      </c>
      <c r="H36" s="26" t="n"/>
      <c r="I36" s="20" t="n">
        <v>1</v>
      </c>
    </row>
    <row r="37" ht="15" customHeight="1" s="21">
      <c r="A37" s="26" t="inlineStr">
        <is>
          <t>Heating Guy Inc</t>
        </is>
      </c>
      <c r="B37" s="26" t="inlineStr">
        <is>
          <t>Deming</t>
        </is>
      </c>
      <c r="C37" s="26" t="inlineStr">
        <is>
          <t>3609274643</t>
        </is>
      </c>
      <c r="D37" s="26" t="inlineStr">
        <is>
          <t>2006-03-24</t>
        </is>
      </c>
      <c r="E37" s="26" t="n">
        <v>20.3</v>
      </c>
      <c r="F37" s="26" t="inlineStr">
        <is>
          <t>Yes</t>
        </is>
      </c>
      <c r="G37" s="26" t="n"/>
      <c r="H37" s="26" t="n"/>
      <c r="I37" s="20" t="n">
        <v>1</v>
      </c>
    </row>
    <row r="38" ht="15" customHeight="1" s="21">
      <c r="A38" s="26" t="inlineStr">
        <is>
          <t>North Cascades Htg &amp; A/C Inc</t>
        </is>
      </c>
      <c r="B38" s="26" t="inlineStr">
        <is>
          <t>Entiat</t>
        </is>
      </c>
      <c r="C38" s="26" t="inlineStr">
        <is>
          <t>5097844822</t>
        </is>
      </c>
      <c r="D38" s="26" t="inlineStr">
        <is>
          <t>2006-04-11</t>
        </is>
      </c>
      <c r="E38" s="26" t="n">
        <v>20.2</v>
      </c>
      <c r="F38" s="26" t="n"/>
      <c r="G38" s="26" t="inlineStr">
        <is>
          <t>Skip - logged</t>
        </is>
      </c>
      <c r="H38" s="26" t="n"/>
      <c r="I38" s="20" t="n">
        <v>1</v>
      </c>
    </row>
    <row r="39" ht="15" customHeight="1" s="21">
      <c r="A39" s="26" t="inlineStr">
        <is>
          <t>Freedom Heating And Ac Llc</t>
        </is>
      </c>
      <c r="B39" s="26" t="inlineStr">
        <is>
          <t>Mccleary</t>
        </is>
      </c>
      <c r="C39" s="26" t="inlineStr">
        <is>
          <t>3604702888</t>
        </is>
      </c>
      <c r="D39" s="26" t="inlineStr">
        <is>
          <t>2006-06-15</t>
        </is>
      </c>
      <c r="E39" s="26" t="n">
        <v>20</v>
      </c>
      <c r="F39" s="26" t="n"/>
      <c r="G39" s="26" t="inlineStr">
        <is>
          <t>Hot - logged</t>
        </is>
      </c>
      <c r="H39" s="26" t="n"/>
      <c r="I39" s="20" t="n">
        <v>1</v>
      </c>
    </row>
    <row r="40" ht="15" customHeight="1" s="21">
      <c r="A40" s="26" t="inlineStr">
        <is>
          <t>Kimball Mechanical</t>
        </is>
      </c>
      <c r="B40" s="26" t="inlineStr">
        <is>
          <t>Snoqualmie</t>
        </is>
      </c>
      <c r="C40" s="26" t="inlineStr">
        <is>
          <t>4258644745</t>
        </is>
      </c>
      <c r="D40" s="26" t="inlineStr">
        <is>
          <t>2006-07-21</t>
        </is>
      </c>
      <c r="E40" s="26" t="n">
        <v>19.9</v>
      </c>
      <c r="F40" s="26" t="n"/>
      <c r="G40" s="26" t="inlineStr">
        <is>
          <t>Hot - logged</t>
        </is>
      </c>
      <c r="H40" s="26" t="n"/>
      <c r="I40" s="20" t="n">
        <v>1</v>
      </c>
    </row>
    <row r="41" ht="15" customHeight="1" s="21">
      <c r="A41" s="26" t="inlineStr">
        <is>
          <t>Flameworks Inc</t>
        </is>
      </c>
      <c r="B41" s="26" t="inlineStr">
        <is>
          <t>Veradale</t>
        </is>
      </c>
      <c r="C41" s="26" t="inlineStr">
        <is>
          <t>5097100674</t>
        </is>
      </c>
      <c r="D41" s="26" t="inlineStr">
        <is>
          <t>2007-02-13</t>
        </is>
      </c>
      <c r="E41" s="26" t="n">
        <v>19.4</v>
      </c>
      <c r="F41" s="26" t="n"/>
      <c r="G41" s="26" t="inlineStr">
        <is>
          <t>Hot - logged</t>
        </is>
      </c>
      <c r="H41" s="26" t="n"/>
      <c r="I41" s="20" t="n">
        <v>1</v>
      </c>
    </row>
    <row r="42" ht="15" customHeight="1" s="21">
      <c r="A42" s="26" t="inlineStr">
        <is>
          <t>Shrode Heating &amp; Cooling Inc</t>
        </is>
      </c>
      <c r="B42" s="26" t="inlineStr">
        <is>
          <t>Rosalia</t>
        </is>
      </c>
      <c r="C42" s="26" t="inlineStr">
        <is>
          <t>5095234838</t>
        </is>
      </c>
      <c r="D42" s="26" t="inlineStr">
        <is>
          <t>2007-06-06</t>
        </is>
      </c>
      <c r="E42" s="26" t="n">
        <v>19.1</v>
      </c>
      <c r="F42" s="26" t="n"/>
      <c r="G42" s="26" t="inlineStr">
        <is>
          <t>Hot - logged</t>
        </is>
      </c>
      <c r="H42" s="26" t="n"/>
      <c r="I42" s="20" t="n">
        <v>1</v>
      </c>
    </row>
    <row r="43" ht="15" customHeight="1" s="21">
      <c r="A43" s="26" t="inlineStr">
        <is>
          <t>Economy Air Systems Inc</t>
        </is>
      </c>
      <c r="B43" s="26" t="inlineStr">
        <is>
          <t>Tracyton</t>
        </is>
      </c>
      <c r="C43" s="26" t="inlineStr">
        <is>
          <t>3606986626</t>
        </is>
      </c>
      <c r="D43" s="26" t="inlineStr">
        <is>
          <t>2007-06-25</t>
        </is>
      </c>
      <c r="E43" s="26" t="n">
        <v>19</v>
      </c>
      <c r="F43" s="26" t="n"/>
      <c r="G43" s="26" t="inlineStr">
        <is>
          <t>Watch - logged</t>
        </is>
      </c>
      <c r="H43" s="26" t="n"/>
      <c r="I43" s="20" t="n">
        <v>1</v>
      </c>
    </row>
    <row r="44" ht="15" customHeight="1" s="21">
      <c r="A44" s="26" t="inlineStr">
        <is>
          <t>Whidbey Heating &amp; Stoves Llc</t>
        </is>
      </c>
      <c r="B44" s="26" t="inlineStr">
        <is>
          <t>Greenbank</t>
        </is>
      </c>
      <c r="C44" s="26" t="inlineStr">
        <is>
          <t>3606615376</t>
        </is>
      </c>
      <c r="D44" s="26" t="inlineStr">
        <is>
          <t>2007-06-26</t>
        </is>
      </c>
      <c r="E44" s="26" t="n">
        <v>19</v>
      </c>
      <c r="F44" s="26" t="n"/>
      <c r="G44" s="26" t="inlineStr">
        <is>
          <t>Skip - logged</t>
        </is>
      </c>
      <c r="H44" s="26" t="n"/>
      <c r="I44" s="20" t="n">
        <v>1</v>
      </c>
    </row>
    <row r="45" ht="15" customHeight="1" s="21">
      <c r="A45" s="26" t="inlineStr">
        <is>
          <t>Airtight Htg &amp; A/C Llc</t>
        </is>
      </c>
      <c r="B45" s="26" t="inlineStr">
        <is>
          <t>East Olympia</t>
        </is>
      </c>
      <c r="C45" s="26" t="inlineStr">
        <is>
          <t>3604550455</t>
        </is>
      </c>
      <c r="D45" s="26" t="inlineStr">
        <is>
          <t>2007-10-02</t>
        </is>
      </c>
      <c r="E45" s="26" t="n">
        <v>18.7</v>
      </c>
      <c r="F45" s="26" t="n"/>
      <c r="G45" s="26" t="inlineStr">
        <is>
          <t>Hot - logged</t>
        </is>
      </c>
      <c r="H45" s="26" t="n"/>
      <c r="I45" s="20" t="n">
        <v>1</v>
      </c>
    </row>
    <row r="46" ht="15" customHeight="1" s="21">
      <c r="A46" s="26" t="inlineStr">
        <is>
          <t>Custom Heating &amp; Cooling Llc</t>
        </is>
      </c>
      <c r="B46" s="26" t="inlineStr">
        <is>
          <t>Kelso</t>
        </is>
      </c>
      <c r="C46" s="26" t="inlineStr">
        <is>
          <t>3606361850</t>
        </is>
      </c>
      <c r="D46" s="26" t="inlineStr">
        <is>
          <t>2007-10-17</t>
        </is>
      </c>
      <c r="E46" s="26" t="n">
        <v>18.7</v>
      </c>
      <c r="F46" s="26" t="n"/>
      <c r="G46" s="26" t="inlineStr">
        <is>
          <t>Skip - logged (PASF 2.1/7)</t>
        </is>
      </c>
      <c r="H46" s="26" t="n"/>
      <c r="I46" s="20" t="n">
        <v>1</v>
      </c>
    </row>
    <row r="47" ht="15" customHeight="1" s="21">
      <c r="A47" s="26" t="inlineStr">
        <is>
          <t>Hydrosci Llc</t>
        </is>
      </c>
      <c r="B47" s="26" t="inlineStr">
        <is>
          <t>Mead</t>
        </is>
      </c>
      <c r="C47" s="26" t="inlineStr">
        <is>
          <t>5094640531</t>
        </is>
      </c>
      <c r="D47" s="26" t="inlineStr">
        <is>
          <t>2008-03-20</t>
        </is>
      </c>
      <c r="E47" s="26" t="n">
        <v>18.3</v>
      </c>
      <c r="F47" s="26" t="n"/>
      <c r="G47" s="26" t="inlineStr">
        <is>
          <t>Hot - logged</t>
        </is>
      </c>
      <c r="H47" s="26" t="n"/>
      <c r="I47" s="20" t="n">
        <v>1</v>
      </c>
    </row>
    <row r="48" ht="15" customHeight="1" s="21">
      <c r="A48" s="26" t="inlineStr">
        <is>
          <t>Anderson Nesler Company Inc</t>
        </is>
      </c>
      <c r="B48" s="26" t="inlineStr">
        <is>
          <t>Milton</t>
        </is>
      </c>
      <c r="C48" s="26" t="inlineStr">
        <is>
          <t>2533818456</t>
        </is>
      </c>
      <c r="D48" s="26" t="inlineStr">
        <is>
          <t>2008-04-17</t>
        </is>
      </c>
      <c r="E48" s="26" t="n">
        <v>18.2</v>
      </c>
      <c r="F48" s="26" t="n"/>
      <c r="G48" s="26" t="inlineStr">
        <is>
          <t>Hot - logged</t>
        </is>
      </c>
      <c r="H48" s="26" t="n"/>
      <c r="I48" s="20" t="n">
        <v>1</v>
      </c>
    </row>
    <row r="49" ht="15" customHeight="1" s="21">
      <c r="A49" s="26" t="inlineStr">
        <is>
          <t>Norstar Heating &amp; Cooling Inc</t>
        </is>
      </c>
      <c r="B49" s="26" t="inlineStr">
        <is>
          <t>Colville</t>
        </is>
      </c>
      <c r="C49" s="26" t="inlineStr">
        <is>
          <t>5096844291</t>
        </is>
      </c>
      <c r="D49" s="26" t="inlineStr">
        <is>
          <t>2008-06-17</t>
        </is>
      </c>
      <c r="E49" s="26" t="n">
        <v>18</v>
      </c>
      <c r="F49" s="26" t="inlineStr">
        <is>
          <t>Yes</t>
        </is>
      </c>
      <c r="G49" s="26" t="n"/>
      <c r="H49" s="26" t="n"/>
      <c r="I49" s="20" t="n">
        <v>1</v>
      </c>
    </row>
    <row r="50" ht="15" customHeight="1" s="21">
      <c r="A50" s="26" t="inlineStr">
        <is>
          <t>Reliatemp Llc</t>
        </is>
      </c>
      <c r="B50" s="26" t="inlineStr">
        <is>
          <t>Belfair</t>
        </is>
      </c>
      <c r="C50" s="26" t="inlineStr">
        <is>
          <t>3602754793</t>
        </is>
      </c>
      <c r="D50" s="26" t="inlineStr">
        <is>
          <t>2008-07-25</t>
        </is>
      </c>
      <c r="E50" s="26" t="n">
        <v>17.9</v>
      </c>
      <c r="F50" s="26" t="n"/>
      <c r="G50" s="26" t="inlineStr">
        <is>
          <t>Hot - logged</t>
        </is>
      </c>
      <c r="H50" s="26" t="n"/>
      <c r="I50" s="20" t="n">
        <v>1</v>
      </c>
    </row>
    <row r="51" ht="15" customHeight="1" s="21">
      <c r="A51" s="26" t="inlineStr">
        <is>
          <t>Denali Heating &amp; A/C Llc</t>
        </is>
      </c>
      <c r="B51" s="26" t="inlineStr">
        <is>
          <t>Castle Rock</t>
        </is>
      </c>
      <c r="C51" s="26" t="inlineStr">
        <is>
          <t>3602748049</t>
        </is>
      </c>
      <c r="D51" s="26" t="inlineStr">
        <is>
          <t>2009-03-31</t>
        </is>
      </c>
      <c r="E51" s="26" t="n">
        <v>17.3</v>
      </c>
      <c r="F51" s="26" t="n"/>
      <c r="G51" s="26" t="inlineStr">
        <is>
          <t>Skip - logged</t>
        </is>
      </c>
      <c r="H51" s="26" t="n"/>
      <c r="I51" s="20" t="n">
        <v>1</v>
      </c>
    </row>
    <row r="52" ht="15" customHeight="1" s="21">
      <c r="A52" s="26" t="inlineStr">
        <is>
          <t>San Juan Heating Llc</t>
        </is>
      </c>
      <c r="B52" s="26" t="inlineStr">
        <is>
          <t>Friday Harbor</t>
        </is>
      </c>
      <c r="C52" s="26" t="inlineStr">
        <is>
          <t>3603784328</t>
        </is>
      </c>
      <c r="D52" s="26" t="inlineStr">
        <is>
          <t>2009-10-22</t>
        </is>
      </c>
      <c r="E52" s="26" t="n">
        <v>16.7</v>
      </c>
      <c r="F52" s="26" t="n"/>
      <c r="G52" s="26" t="inlineStr">
        <is>
          <t>Watch - logged</t>
        </is>
      </c>
      <c r="H52" s="26" t="n"/>
      <c r="I52" s="20" t="n">
        <v>1</v>
      </c>
    </row>
    <row r="53" ht="15" customHeight="1" s="21">
      <c r="A53" s="26" t="inlineStr">
        <is>
          <t>Systech Mechanical Llc</t>
        </is>
      </c>
      <c r="B53" s="26" t="inlineStr">
        <is>
          <t>Chewelah</t>
        </is>
      </c>
      <c r="C53" s="26" t="inlineStr">
        <is>
          <t>5099354328</t>
        </is>
      </c>
      <c r="D53" s="26" t="inlineStr">
        <is>
          <t>2010-04-23</t>
        </is>
      </c>
      <c r="E53" s="26" t="n">
        <v>16.2</v>
      </c>
      <c r="F53" s="26" t="n"/>
      <c r="G53" s="26" t="inlineStr">
        <is>
          <t>Skip - logged</t>
        </is>
      </c>
      <c r="H53" s="26" t="n"/>
      <c r="I53" s="20" t="n">
        <v>1</v>
      </c>
    </row>
    <row r="54" ht="15" customHeight="1" s="21">
      <c r="A54" s="26" t="inlineStr">
        <is>
          <t>House Doctors</t>
        </is>
      </c>
      <c r="B54" s="26" t="inlineStr">
        <is>
          <t>Blaine</t>
        </is>
      </c>
      <c r="C54" s="26" t="inlineStr">
        <is>
          <t>3603199625</t>
        </is>
      </c>
      <c r="D54" s="26" t="inlineStr">
        <is>
          <t>2010-07-15</t>
        </is>
      </c>
      <c r="E54" s="26" t="n">
        <v>16</v>
      </c>
      <c r="F54" s="26" t="n"/>
      <c r="G54" s="26" t="inlineStr">
        <is>
          <t>Hot - logged</t>
        </is>
      </c>
      <c r="H54" s="26" t="n"/>
      <c r="I54" s="20" t="n">
        <v>1</v>
      </c>
    </row>
    <row r="55" ht="15" customHeight="1" s="21">
      <c r="A55" s="26" t="inlineStr">
        <is>
          <t>Rawhide Electric Services Llc</t>
        </is>
      </c>
      <c r="B55" s="26" t="inlineStr">
        <is>
          <t>Woodland</t>
        </is>
      </c>
      <c r="C55" s="26" t="inlineStr">
        <is>
          <t>3605773860</t>
        </is>
      </c>
      <c r="D55" s="26" t="inlineStr">
        <is>
          <t>2010-12-03</t>
        </is>
      </c>
      <c r="E55" s="26" t="n">
        <v>15.6</v>
      </c>
      <c r="F55" s="26" t="n"/>
      <c r="G55" s="26" t="inlineStr">
        <is>
          <t>Skip - logged</t>
        </is>
      </c>
      <c r="H55" s="26" t="n"/>
      <c r="I55" s="20" t="n">
        <v>1</v>
      </c>
    </row>
    <row r="56" ht="15" customHeight="1" s="21">
      <c r="A56" s="26" t="inlineStr">
        <is>
          <t>Testing &amp; Comm. Services Llc</t>
        </is>
      </c>
      <c r="B56" s="26" t="inlineStr">
        <is>
          <t>Bow</t>
        </is>
      </c>
      <c r="C56" s="26" t="inlineStr">
        <is>
          <t>3602248555</t>
        </is>
      </c>
      <c r="D56" s="26" t="inlineStr">
        <is>
          <t>2011-03-30</t>
        </is>
      </c>
      <c r="E56" s="26" t="n">
        <v>15.3</v>
      </c>
      <c r="F56" s="26" t="n"/>
      <c r="G56" s="26" t="inlineStr">
        <is>
          <t>Skip - logged (name pre-filter)</t>
        </is>
      </c>
      <c r="H56" s="26" t="n"/>
      <c r="I56" s="20" t="n">
        <v>1</v>
      </c>
    </row>
    <row r="57" ht="15" customHeight="1" s="21">
      <c r="A57" s="26" t="inlineStr">
        <is>
          <t>Air Flo Heating Company Inc</t>
        </is>
      </c>
      <c r="B57" s="26" t="inlineStr">
        <is>
          <t>Sequim</t>
        </is>
      </c>
      <c r="C57" s="26" t="inlineStr">
        <is>
          <t>3606833901</t>
        </is>
      </c>
      <c r="D57" s="26" t="inlineStr">
        <is>
          <t>1980-03-07</t>
        </is>
      </c>
      <c r="E57" s="26" t="n">
        <v>46.3</v>
      </c>
      <c r="F57" s="26" t="inlineStr">
        <is>
          <t>Yes</t>
        </is>
      </c>
      <c r="G57" s="26" t="n"/>
      <c r="H57" s="26" t="n"/>
      <c r="I57" s="20" t="n">
        <v>2</v>
      </c>
    </row>
    <row r="58" ht="15" customHeight="1" s="21">
      <c r="A58" s="26" t="inlineStr">
        <is>
          <t>Norco Heating &amp; Air Cond Inc</t>
        </is>
      </c>
      <c r="B58" s="26" t="inlineStr">
        <is>
          <t>Spokane</t>
        </is>
      </c>
      <c r="C58" s="26" t="inlineStr">
        <is>
          <t>5095344975</t>
        </is>
      </c>
      <c r="D58" s="26" t="inlineStr">
        <is>
          <t>1983-12-09</t>
        </is>
      </c>
      <c r="E58" s="26" t="n">
        <v>42.6</v>
      </c>
      <c r="F58" s="26" t="n"/>
      <c r="G58" s="26" t="inlineStr">
        <is>
          <t>Skip - logged</t>
        </is>
      </c>
      <c r="H58" s="26" t="n"/>
      <c r="I58" s="20" t="n">
        <v>2</v>
      </c>
    </row>
    <row r="59" ht="15" customHeight="1" s="21">
      <c r="A59" s="26" t="inlineStr">
        <is>
          <t>Advanced Mechanical Sys Inc</t>
        </is>
      </c>
      <c r="B59" s="26" t="inlineStr">
        <is>
          <t>Spokane Valley</t>
        </is>
      </c>
      <c r="C59" s="26" t="inlineStr">
        <is>
          <t>5095340547</t>
        </is>
      </c>
      <c r="D59" s="26" t="inlineStr">
        <is>
          <t>1984-11-13</t>
        </is>
      </c>
      <c r="E59" s="26" t="n">
        <v>41.6</v>
      </c>
      <c r="F59" s="26" t="n"/>
      <c r="G59" s="26" t="inlineStr">
        <is>
          <t>Skip - logged</t>
        </is>
      </c>
      <c r="H59" s="26" t="n"/>
      <c r="I59" s="20" t="n">
        <v>2</v>
      </c>
    </row>
    <row r="60" ht="15" customHeight="1" s="21">
      <c r="A60" s="26" t="inlineStr">
        <is>
          <t>Monroe Heating &amp; Refrigeration</t>
        </is>
      </c>
      <c r="B60" s="26" t="inlineStr">
        <is>
          <t>Snohomish</t>
        </is>
      </c>
      <c r="C60" s="26" t="inlineStr">
        <is>
          <t>3607947914</t>
        </is>
      </c>
      <c r="D60" s="26" t="inlineStr">
        <is>
          <t>1985-05-07</t>
        </is>
      </c>
      <c r="E60" s="26" t="n">
        <v>41.2</v>
      </c>
      <c r="F60" s="26" t="n"/>
      <c r="G60" s="26" t="inlineStr">
        <is>
          <t>Hot - logged</t>
        </is>
      </c>
      <c r="H60" s="26" t="n"/>
      <c r="I60" s="20" t="n">
        <v>2</v>
      </c>
    </row>
    <row r="61" ht="15" customHeight="1" s="21">
      <c r="A61" s="26" t="inlineStr">
        <is>
          <t>Lloyd'S Heating &amp; Sheetmetal</t>
        </is>
      </c>
      <c r="B61" s="26" t="inlineStr">
        <is>
          <t>Enumclaw</t>
        </is>
      </c>
      <c r="C61" s="26" t="inlineStr">
        <is>
          <t>3608252241</t>
        </is>
      </c>
      <c r="D61" s="26" t="inlineStr">
        <is>
          <t>1990-07-30</t>
        </is>
      </c>
      <c r="E61" s="26" t="n">
        <v>35.9</v>
      </c>
      <c r="F61" s="26" t="inlineStr">
        <is>
          <t>Yes</t>
        </is>
      </c>
      <c r="G61" s="26" t="n"/>
      <c r="H61" s="26" t="n"/>
      <c r="I61" s="20" t="n">
        <v>2</v>
      </c>
    </row>
    <row r="62" ht="15" customHeight="1" s="21">
      <c r="A62" s="26" t="inlineStr">
        <is>
          <t>Tim'S Comfort Plus</t>
        </is>
      </c>
      <c r="B62" s="26" t="inlineStr">
        <is>
          <t>Spokane</t>
        </is>
      </c>
      <c r="C62" s="26" t="inlineStr">
        <is>
          <t>5095346558</t>
        </is>
      </c>
      <c r="D62" s="26" t="inlineStr">
        <is>
          <t>1991-05-17</t>
        </is>
      </c>
      <c r="E62" s="26" t="n">
        <v>35.1</v>
      </c>
      <c r="F62" s="26" t="n"/>
      <c r="G62" s="26" t="inlineStr">
        <is>
          <t>Hot - logged</t>
        </is>
      </c>
      <c r="H62" s="26" t="n"/>
      <c r="I62" s="20" t="n">
        <v>2</v>
      </c>
    </row>
    <row r="63" ht="15" customHeight="1" s="21">
      <c r="A63" s="26" t="inlineStr">
        <is>
          <t>Salazar Specialized Services</t>
        </is>
      </c>
      <c r="B63" s="26" t="inlineStr">
        <is>
          <t>Yakima</t>
        </is>
      </c>
      <c r="C63" s="26" t="inlineStr">
        <is>
          <t>5094577176</t>
        </is>
      </c>
      <c r="D63" s="26" t="inlineStr">
        <is>
          <t>1991-12-23</t>
        </is>
      </c>
      <c r="E63" s="26" t="n">
        <v>34.5</v>
      </c>
      <c r="F63" s="26" t="n"/>
      <c r="G63" s="26" t="inlineStr">
        <is>
          <t>Hot - logged</t>
        </is>
      </c>
      <c r="H63" s="26" t="n"/>
      <c r="I63" s="20" t="n">
        <v>2</v>
      </c>
    </row>
    <row r="64" ht="15" customHeight="1" s="21">
      <c r="A64" s="26" t="inlineStr">
        <is>
          <t>B &amp; C Heating &amp; A/C</t>
        </is>
      </c>
      <c r="B64" s="26" t="inlineStr">
        <is>
          <t>Spokane</t>
        </is>
      </c>
      <c r="C64" s="26" t="inlineStr">
        <is>
          <t>5099278861</t>
        </is>
      </c>
      <c r="D64" s="26" t="inlineStr">
        <is>
          <t>1992-07-23</t>
        </is>
      </c>
      <c r="E64" s="26" t="n">
        <v>33.9</v>
      </c>
      <c r="F64" s="26" t="n"/>
      <c r="G64" s="26" t="inlineStr">
        <is>
          <t>Hot - logged</t>
        </is>
      </c>
      <c r="H64" s="26" t="n"/>
      <c r="I64" s="20" t="n">
        <v>2</v>
      </c>
    </row>
    <row r="65" ht="15" customHeight="1" s="21">
      <c r="A65" s="26" t="inlineStr">
        <is>
          <t>Vance Heating &amp; Air Cond Inc</t>
        </is>
      </c>
      <c r="B65" s="26" t="inlineStr">
        <is>
          <t>Yakima</t>
        </is>
      </c>
      <c r="C65" s="26" t="inlineStr">
        <is>
          <t>5092489450</t>
        </is>
      </c>
      <c r="D65" s="26" t="inlineStr">
        <is>
          <t>1993-09-17</t>
        </is>
      </c>
      <c r="E65" s="26" t="n">
        <v>32.8</v>
      </c>
      <c r="F65" s="26" t="inlineStr">
        <is>
          <t>Yes</t>
        </is>
      </c>
      <c r="G65" s="26" t="n"/>
      <c r="H65" s="26" t="n"/>
      <c r="I65" s="20" t="n">
        <v>2</v>
      </c>
    </row>
    <row r="66" ht="15" customHeight="1" s="21">
      <c r="A66" s="26" t="inlineStr">
        <is>
          <t>Sammamish Heating &amp; A/C</t>
        </is>
      </c>
      <c r="B66" s="26" t="inlineStr">
        <is>
          <t>Snohomish</t>
        </is>
      </c>
      <c r="C66" s="26" t="inlineStr">
        <is>
          <t>4258819710</t>
        </is>
      </c>
      <c r="D66" s="26" t="inlineStr">
        <is>
          <t>1993-10-08</t>
        </is>
      </c>
      <c r="E66" s="26" t="n">
        <v>32.7</v>
      </c>
      <c r="F66" s="26" t="n"/>
      <c r="G66" s="26" t="inlineStr">
        <is>
          <t>Hot - logged</t>
        </is>
      </c>
      <c r="H66" s="26" t="n"/>
      <c r="I66" s="20" t="n">
        <v>2</v>
      </c>
    </row>
    <row r="67" ht="15" customHeight="1" s="21">
      <c r="A67" s="26" t="inlineStr">
        <is>
          <t>Eaton'S Refrigeration</t>
        </is>
      </c>
      <c r="B67" s="26" t="inlineStr">
        <is>
          <t>Yakima</t>
        </is>
      </c>
      <c r="C67" s="26" t="inlineStr">
        <is>
          <t>5095756340</t>
        </is>
      </c>
      <c r="D67" s="26" t="inlineStr">
        <is>
          <t>1994-07-01</t>
        </is>
      </c>
      <c r="E67" s="26" t="n">
        <v>32</v>
      </c>
      <c r="F67" s="26" t="n"/>
      <c r="G67" s="26" t="inlineStr">
        <is>
          <t>Hot - logged</t>
        </is>
      </c>
      <c r="H67" s="26" t="n"/>
      <c r="I67" s="20" t="n">
        <v>2</v>
      </c>
    </row>
    <row r="68" ht="15" customHeight="1" s="21">
      <c r="A68" s="26" t="inlineStr">
        <is>
          <t>D &amp; M Refrigeration Inc</t>
        </is>
      </c>
      <c r="B68" s="26" t="inlineStr">
        <is>
          <t>Spokane</t>
        </is>
      </c>
      <c r="C68" s="26" t="inlineStr">
        <is>
          <t>5095359912</t>
        </is>
      </c>
      <c r="D68" s="26" t="inlineStr">
        <is>
          <t>1996-07-22</t>
        </is>
      </c>
      <c r="E68" s="26" t="n">
        <v>29.9</v>
      </c>
      <c r="F68" s="26" t="n"/>
      <c r="G68" s="26" t="inlineStr">
        <is>
          <t>Hot - logged</t>
        </is>
      </c>
      <c r="H68" s="26" t="n"/>
      <c r="I68" s="20" t="n">
        <v>2</v>
      </c>
    </row>
    <row r="69" ht="15" customHeight="1" s="21">
      <c r="A69" s="26" t="inlineStr">
        <is>
          <t>Testcomm Llc</t>
        </is>
      </c>
      <c r="B69" s="26" t="inlineStr">
        <is>
          <t>Spokane</t>
        </is>
      </c>
      <c r="C69" s="26" t="inlineStr">
        <is>
          <t>5095330498</t>
        </is>
      </c>
      <c r="D69" s="26" t="inlineStr">
        <is>
          <t>1996-11-12</t>
        </is>
      </c>
      <c r="E69" s="26" t="n">
        <v>29.6</v>
      </c>
      <c r="F69" s="26" t="n"/>
      <c r="G69" s="26" t="inlineStr">
        <is>
          <t>Skip - logged</t>
        </is>
      </c>
      <c r="H69" s="26" t="n"/>
      <c r="I69" s="20" t="n">
        <v>2</v>
      </c>
    </row>
    <row r="70" ht="15" customHeight="1" s="21">
      <c r="A70" s="26" t="inlineStr">
        <is>
          <t>Choice Home Services Inc</t>
        </is>
      </c>
      <c r="B70" s="26" t="inlineStr">
        <is>
          <t>Snohomish</t>
        </is>
      </c>
      <c r="C70" s="26" t="inlineStr">
        <is>
          <t>3605687900</t>
        </is>
      </c>
      <c r="D70" s="26" t="inlineStr">
        <is>
          <t>1997-01-31</t>
        </is>
      </c>
      <c r="E70" s="26" t="n">
        <v>29.4</v>
      </c>
      <c r="F70" s="26" t="n"/>
      <c r="G70" s="26" t="inlineStr">
        <is>
          <t>Hot - logged</t>
        </is>
      </c>
      <c r="H70" s="26" t="n"/>
      <c r="I70" s="20" t="n">
        <v>2</v>
      </c>
    </row>
    <row r="71" ht="15" customHeight="1" s="21">
      <c r="A71" s="26" t="inlineStr">
        <is>
          <t>Keller Heating Inc</t>
        </is>
      </c>
      <c r="B71" s="26" t="inlineStr">
        <is>
          <t>Spokane</t>
        </is>
      </c>
      <c r="C71" s="26" t="inlineStr">
        <is>
          <t>5099263551</t>
        </is>
      </c>
      <c r="D71" s="26" t="inlineStr">
        <is>
          <t>1999-04-26</t>
        </is>
      </c>
      <c r="E71" s="26" t="n">
        <v>27.2</v>
      </c>
      <c r="F71" s="26" t="n"/>
      <c r="G71" s="26" t="inlineStr">
        <is>
          <t>Hot - logged</t>
        </is>
      </c>
      <c r="H71" s="26" t="inlineStr">
        <is>
          <t>PASF intel 2026-07-02: GMB shows 4.3 stars / 6 reviews - low-review, L&amp;I longevity path candidate (27-yr license) if no/weak website</t>
        </is>
      </c>
      <c r="I71" s="20" t="n">
        <v>2</v>
      </c>
    </row>
    <row r="72" ht="15" customHeight="1" s="21">
      <c r="A72" s="26" t="inlineStr">
        <is>
          <t>Z-Man Heating A/C Plmbg Srvcs</t>
        </is>
      </c>
      <c r="B72" s="26" t="inlineStr">
        <is>
          <t>Monroe</t>
        </is>
      </c>
      <c r="C72" s="26" t="inlineStr">
        <is>
          <t>3607946594</t>
        </is>
      </c>
      <c r="D72" s="26" t="inlineStr">
        <is>
          <t>1999-12-22</t>
        </is>
      </c>
      <c r="E72" s="26" t="n">
        <v>26.5</v>
      </c>
      <c r="F72" s="26" t="n"/>
      <c r="G72" s="26" t="inlineStr">
        <is>
          <t>Hot - logged</t>
        </is>
      </c>
      <c r="H72" s="26" t="n"/>
      <c r="I72" s="20" t="n">
        <v>2</v>
      </c>
    </row>
    <row r="73" ht="15" customHeight="1" s="21">
      <c r="A73" s="26" t="inlineStr">
        <is>
          <t>Delta Heating &amp; Cooling Inc</t>
        </is>
      </c>
      <c r="B73" s="26" t="inlineStr">
        <is>
          <t>Richland</t>
        </is>
      </c>
      <c r="C73" s="26" t="inlineStr">
        <is>
          <t>5099431092</t>
        </is>
      </c>
      <c r="D73" s="26" t="inlineStr">
        <is>
          <t>2000-01-19</t>
        </is>
      </c>
      <c r="E73" s="26" t="n">
        <v>26.5</v>
      </c>
      <c r="F73" s="26" t="n"/>
      <c r="G73" s="26" t="inlineStr">
        <is>
          <t>Skip - logged</t>
        </is>
      </c>
      <c r="H73" s="26" t="n"/>
      <c r="I73" s="20" t="n">
        <v>2</v>
      </c>
    </row>
    <row r="74" ht="15" customHeight="1" s="21">
      <c r="A74" s="26" t="inlineStr">
        <is>
          <t>Wells &amp; Wade Mechanical</t>
        </is>
      </c>
      <c r="B74" s="26" t="inlineStr">
        <is>
          <t>Wenatchee</t>
        </is>
      </c>
      <c r="C74" s="26" t="inlineStr">
        <is>
          <t>5096623412</t>
        </is>
      </c>
      <c r="D74" s="26" t="inlineStr">
        <is>
          <t>2000-02-08</t>
        </is>
      </c>
      <c r="E74" s="26" t="n">
        <v>26.4</v>
      </c>
      <c r="F74" s="26" t="n"/>
      <c r="G74" s="26" t="inlineStr">
        <is>
          <t>Watch - logged</t>
        </is>
      </c>
      <c r="H74" s="26" t="n"/>
      <c r="I74" s="20" t="n">
        <v>2</v>
      </c>
    </row>
    <row r="75" ht="15" customHeight="1" s="21">
      <c r="A75" s="26" t="inlineStr">
        <is>
          <t>Cozy Heating Inc</t>
        </is>
      </c>
      <c r="B75" s="26" t="inlineStr">
        <is>
          <t>Arlington</t>
        </is>
      </c>
      <c r="C75" s="26" t="inlineStr">
        <is>
          <t>3604354904</t>
        </is>
      </c>
      <c r="D75" s="26" t="inlineStr">
        <is>
          <t>2000-02-09</t>
        </is>
      </c>
      <c r="E75" s="26" t="n">
        <v>26.4</v>
      </c>
      <c r="F75" s="26" t="inlineStr">
        <is>
          <t>Yes</t>
        </is>
      </c>
      <c r="G75" s="26" t="n"/>
      <c r="H75" s="26" t="n"/>
      <c r="I75" s="20" t="n">
        <v>2</v>
      </c>
    </row>
    <row r="76" ht="15" customHeight="1" s="21">
      <c r="A76" s="26" t="inlineStr">
        <is>
          <t>Smith Mechanical Inc</t>
        </is>
      </c>
      <c r="B76" s="26" t="inlineStr">
        <is>
          <t>Ferndale</t>
        </is>
      </c>
      <c r="C76" s="26" t="inlineStr">
        <is>
          <t>3603843203</t>
        </is>
      </c>
      <c r="D76" s="26" t="inlineStr">
        <is>
          <t>2000-02-14</t>
        </is>
      </c>
      <c r="E76" s="26" t="n">
        <v>26.4</v>
      </c>
      <c r="F76" s="26" t="inlineStr">
        <is>
          <t>Yes</t>
        </is>
      </c>
      <c r="G76" s="26" t="n"/>
      <c r="H76" s="26" t="n"/>
      <c r="I76" s="20" t="n">
        <v>2</v>
      </c>
    </row>
    <row r="77" ht="15" customHeight="1" s="21">
      <c r="A77" s="26" t="inlineStr">
        <is>
          <t>Mccleary Htg &amp; A/C Llc</t>
        </is>
      </c>
      <c r="B77" s="26" t="inlineStr">
        <is>
          <t>Spokane</t>
        </is>
      </c>
      <c r="C77" s="26" t="inlineStr">
        <is>
          <t>5095355915</t>
        </is>
      </c>
      <c r="D77" s="26" t="inlineStr">
        <is>
          <t>2000-02-16</t>
        </is>
      </c>
      <c r="E77" s="26" t="n">
        <v>26.4</v>
      </c>
      <c r="F77" s="26" t="n"/>
      <c r="G77" s="26" t="inlineStr">
        <is>
          <t>Skip - logged</t>
        </is>
      </c>
      <c r="H77" s="26" t="n"/>
      <c r="I77" s="20" t="n">
        <v>2</v>
      </c>
    </row>
    <row r="78" ht="15" customHeight="1" s="21">
      <c r="A78" s="26" t="inlineStr">
        <is>
          <t>Coffey Refrigeration</t>
        </is>
      </c>
      <c r="B78" s="26" t="inlineStr">
        <is>
          <t>Kennewick</t>
        </is>
      </c>
      <c r="C78" s="26" t="inlineStr">
        <is>
          <t>5095861519</t>
        </is>
      </c>
      <c r="D78" s="26" t="inlineStr">
        <is>
          <t>2000-02-18</t>
        </is>
      </c>
      <c r="E78" s="26" t="n">
        <v>26.4</v>
      </c>
      <c r="F78" s="26" t="n"/>
      <c r="G78" s="26" t="inlineStr">
        <is>
          <t>Watch - logged</t>
        </is>
      </c>
      <c r="H78" s="26" t="n"/>
      <c r="I78" s="20" t="n">
        <v>2</v>
      </c>
    </row>
    <row r="79" ht="15" customHeight="1" s="21">
      <c r="A79" s="26" t="inlineStr">
        <is>
          <t>Hilliard'S Htg &amp; Plbg Inc</t>
        </is>
      </c>
      <c r="B79" s="26" t="inlineStr">
        <is>
          <t>Pullman</t>
        </is>
      </c>
      <c r="C79" s="26" t="inlineStr">
        <is>
          <t>5093325713</t>
        </is>
      </c>
      <c r="D79" s="26" t="inlineStr">
        <is>
          <t>2000-02-22</t>
        </is>
      </c>
      <c r="E79" s="26" t="n">
        <v>26.4</v>
      </c>
      <c r="F79" s="26" t="n"/>
      <c r="G79" s="26" t="inlineStr">
        <is>
          <t>Skip - logged</t>
        </is>
      </c>
      <c r="H79" s="26" t="n"/>
      <c r="I79" s="20" t="n">
        <v>2</v>
      </c>
    </row>
    <row r="80" ht="15" customHeight="1" s="21">
      <c r="A80" s="26" t="inlineStr">
        <is>
          <t>Advanced Energy Systems Inc</t>
        </is>
      </c>
      <c r="B80" s="26" t="inlineStr">
        <is>
          <t>Chehalis</t>
        </is>
      </c>
      <c r="C80" s="26" t="inlineStr">
        <is>
          <t>3607481817</t>
        </is>
      </c>
      <c r="D80" s="26" t="inlineStr">
        <is>
          <t>2000-02-23</t>
        </is>
      </c>
      <c r="E80" s="26" t="n">
        <v>26.4</v>
      </c>
      <c r="F80" s="26" t="inlineStr">
        <is>
          <t>Yes</t>
        </is>
      </c>
      <c r="G80" s="26" t="n"/>
      <c r="H80" s="26" t="n"/>
      <c r="I80" s="20" t="n">
        <v>2</v>
      </c>
    </row>
    <row r="81" ht="15" customHeight="1" s="21">
      <c r="A81" s="26" t="inlineStr">
        <is>
          <t>Olympia Sheet Metal Inc</t>
        </is>
      </c>
      <c r="B81" s="26" t="inlineStr">
        <is>
          <t>Tumwater</t>
        </is>
      </c>
      <c r="C81" s="26" t="inlineStr">
        <is>
          <t>3604911123</t>
        </is>
      </c>
      <c r="D81" s="26" t="inlineStr">
        <is>
          <t>2000-02-23</t>
        </is>
      </c>
      <c r="E81" s="26" t="n">
        <v>26.4</v>
      </c>
      <c r="F81" s="26" t="n"/>
      <c r="G81" s="26" t="inlineStr">
        <is>
          <t>Skip - logged</t>
        </is>
      </c>
      <c r="H81" s="26" t="n"/>
      <c r="I81" s="20" t="n">
        <v>2</v>
      </c>
    </row>
    <row r="82" ht="15" customHeight="1" s="21">
      <c r="A82" s="26" t="inlineStr">
        <is>
          <t>Andrews Mechanical Inc</t>
        </is>
      </c>
      <c r="B82" s="26" t="inlineStr">
        <is>
          <t>Spokane</t>
        </is>
      </c>
      <c r="C82" s="26" t="inlineStr">
        <is>
          <t>5094893860</t>
        </is>
      </c>
      <c r="D82" s="26" t="inlineStr">
        <is>
          <t>2000-02-25</t>
        </is>
      </c>
      <c r="E82" s="26" t="n">
        <v>26.3</v>
      </c>
      <c r="F82" s="26" t="n"/>
      <c r="G82" s="26" t="inlineStr">
        <is>
          <t>Skip - logged</t>
        </is>
      </c>
      <c r="H82" s="26" t="n"/>
      <c r="I82" s="20" t="n">
        <v>2</v>
      </c>
    </row>
    <row r="83" ht="15" customHeight="1" s="21">
      <c r="A83" s="26" t="inlineStr">
        <is>
          <t>Feller Heating &amp; A/C Inc</t>
        </is>
      </c>
      <c r="B83" s="26" t="inlineStr">
        <is>
          <t>Bellingham</t>
        </is>
      </c>
      <c r="C83" s="26" t="inlineStr">
        <is>
          <t>3607334827</t>
        </is>
      </c>
      <c r="D83" s="26" t="inlineStr">
        <is>
          <t>2000-02-25</t>
        </is>
      </c>
      <c r="E83" s="26" t="n">
        <v>26.3</v>
      </c>
      <c r="F83" s="26" t="n"/>
      <c r="G83" s="26" t="inlineStr">
        <is>
          <t>Skip - logged</t>
        </is>
      </c>
      <c r="H83" s="26" t="n"/>
      <c r="I83" s="20" t="n">
        <v>2</v>
      </c>
    </row>
    <row r="84" ht="15" customHeight="1" s="21">
      <c r="A84" s="26" t="inlineStr">
        <is>
          <t>Air Flo Heating Co Inc</t>
        </is>
      </c>
      <c r="B84" s="26" t="inlineStr">
        <is>
          <t>Sequim</t>
        </is>
      </c>
      <c r="C84" s="26" t="inlineStr">
        <is>
          <t>3606833901</t>
        </is>
      </c>
      <c r="D84" s="26" t="inlineStr">
        <is>
          <t>2000-02-28</t>
        </is>
      </c>
      <c r="E84" s="26" t="n">
        <v>26.3</v>
      </c>
      <c r="F84" s="26" t="inlineStr">
        <is>
          <t>Yes</t>
        </is>
      </c>
      <c r="G84" s="26" t="n"/>
      <c r="H84" s="26" t="n"/>
      <c r="I84" s="20" t="n">
        <v>2</v>
      </c>
    </row>
    <row r="85" ht="15" customHeight="1" s="21">
      <c r="A85" s="26" t="inlineStr">
        <is>
          <t>Kollmar Inc</t>
        </is>
      </c>
      <c r="B85" s="26" t="inlineStr">
        <is>
          <t>Grandview</t>
        </is>
      </c>
      <c r="C85" s="26" t="inlineStr">
        <is>
          <t>5098823148</t>
        </is>
      </c>
      <c r="D85" s="26" t="inlineStr">
        <is>
          <t>2000-02-28</t>
        </is>
      </c>
      <c r="E85" s="26" t="n">
        <v>26.3</v>
      </c>
      <c r="F85" s="26" t="n"/>
      <c r="G85" s="26" t="inlineStr">
        <is>
          <t>Skip - logged</t>
        </is>
      </c>
      <c r="H85" s="26" t="n"/>
      <c r="I85" s="20" t="n">
        <v>2</v>
      </c>
    </row>
    <row r="86" ht="15" customHeight="1" s="21">
      <c r="A86" s="26" t="inlineStr">
        <is>
          <t>Marr'S Heating &amp; A/C Inc</t>
        </is>
      </c>
      <c r="B86" s="26" t="inlineStr">
        <is>
          <t>Bellingham</t>
        </is>
      </c>
      <c r="C86" s="26" t="inlineStr">
        <is>
          <t>3607469919</t>
        </is>
      </c>
      <c r="D86" s="26" t="inlineStr">
        <is>
          <t>2000-02-28</t>
        </is>
      </c>
      <c r="E86" s="26" t="n">
        <v>26.3</v>
      </c>
      <c r="F86" s="26" t="inlineStr">
        <is>
          <t>Yes</t>
        </is>
      </c>
      <c r="G86" s="26" t="inlineStr">
        <is>
          <t>Imported (legacy)</t>
        </is>
      </c>
      <c r="H86" s="26" t="n"/>
      <c r="I86" s="20" t="n">
        <v>2</v>
      </c>
    </row>
    <row r="87" ht="15" customHeight="1" s="21">
      <c r="A87" s="26" t="inlineStr">
        <is>
          <t>Moser Inc</t>
        </is>
      </c>
      <c r="B87" s="26" t="inlineStr">
        <is>
          <t>Spokane</t>
        </is>
      </c>
      <c r="C87" s="26" t="inlineStr">
        <is>
          <t>5097470950</t>
        </is>
      </c>
      <c r="D87" s="26" t="inlineStr">
        <is>
          <t>2000-02-28</t>
        </is>
      </c>
      <c r="E87" s="26" t="n">
        <v>26.3</v>
      </c>
      <c r="F87" s="26" t="n"/>
      <c r="G87" s="26" t="inlineStr">
        <is>
          <t>Skip - logged</t>
        </is>
      </c>
      <c r="H87" s="26" t="n"/>
      <c r="I87" s="20" t="n">
        <v>2</v>
      </c>
    </row>
    <row r="88" ht="15" customHeight="1" s="21">
      <c r="A88" s="26" t="inlineStr">
        <is>
          <t>Nickoloff Refrig Htg &amp; A/C</t>
        </is>
      </c>
      <c r="B88" s="26" t="inlineStr">
        <is>
          <t>Yakima</t>
        </is>
      </c>
      <c r="C88" s="26" t="inlineStr">
        <is>
          <t>5099521445</t>
        </is>
      </c>
      <c r="D88" s="26" t="inlineStr">
        <is>
          <t>2000-02-28</t>
        </is>
      </c>
      <c r="E88" s="26" t="n">
        <v>26.3</v>
      </c>
      <c r="F88" s="26" t="n"/>
      <c r="G88" s="26" t="inlineStr">
        <is>
          <t>Hot - logged</t>
        </is>
      </c>
      <c r="H88" s="26" t="n"/>
      <c r="I88" s="20" t="n">
        <v>2</v>
      </c>
    </row>
    <row r="89" ht="15" customHeight="1" s="21">
      <c r="A89" s="26" t="inlineStr">
        <is>
          <t>Smith Heating &amp; Cooling Inc</t>
        </is>
      </c>
      <c r="B89" s="26" t="inlineStr">
        <is>
          <t>Spokane</t>
        </is>
      </c>
      <c r="C89" s="26" t="inlineStr">
        <is>
          <t>5093284431</t>
        </is>
      </c>
      <c r="D89" s="26" t="inlineStr">
        <is>
          <t>2000-02-28</t>
        </is>
      </c>
      <c r="E89" s="26" t="n">
        <v>26.3</v>
      </c>
      <c r="F89" s="26" t="n"/>
      <c r="G89" s="26" t="inlineStr">
        <is>
          <t>Warm - logged</t>
        </is>
      </c>
      <c r="H89" s="26" t="n"/>
      <c r="I89" s="20" t="n">
        <v>2</v>
      </c>
    </row>
    <row r="90" ht="15" customHeight="1" s="21">
      <c r="A90" s="26" t="inlineStr">
        <is>
          <t>Robbins Air Inc</t>
        </is>
      </c>
      <c r="B90" s="26" t="inlineStr">
        <is>
          <t>Aberdeen</t>
        </is>
      </c>
      <c r="C90" s="26" t="inlineStr">
        <is>
          <t>3605387003</t>
        </is>
      </c>
      <c r="D90" s="26" t="inlineStr">
        <is>
          <t>2000-02-29</t>
        </is>
      </c>
      <c r="E90" s="26" t="n">
        <v>26.3</v>
      </c>
      <c r="F90" s="26" t="inlineStr">
        <is>
          <t>Yes</t>
        </is>
      </c>
      <c r="G90" s="26" t="n"/>
      <c r="H90" s="26" t="n"/>
      <c r="I90" s="20" t="n">
        <v>2</v>
      </c>
    </row>
    <row r="91" ht="15" customHeight="1" s="21">
      <c r="A91" s="26" t="inlineStr">
        <is>
          <t>Swanson'S Rfrgtn/Rest Rpr Inc</t>
        </is>
      </c>
      <c r="B91" s="26" t="inlineStr">
        <is>
          <t>Spokane</t>
        </is>
      </c>
      <c r="C91" s="26" t="inlineStr">
        <is>
          <t>5099982870</t>
        </is>
      </c>
      <c r="D91" s="26" t="inlineStr">
        <is>
          <t>2000-02-29</t>
        </is>
      </c>
      <c r="E91" s="26" t="n">
        <v>26.3</v>
      </c>
      <c r="F91" s="26" t="n"/>
      <c r="G91" s="26" t="inlineStr">
        <is>
          <t>Skip - logged (name pre-filter)</t>
        </is>
      </c>
      <c r="H91" s="26" t="n"/>
      <c r="I91" s="20" t="n">
        <v>2</v>
      </c>
    </row>
    <row r="92" ht="15" customHeight="1" s="21">
      <c r="A92" s="26" t="inlineStr">
        <is>
          <t>Team Mechanical Inc</t>
        </is>
      </c>
      <c r="B92" s="26" t="inlineStr">
        <is>
          <t>Monroe</t>
        </is>
      </c>
      <c r="C92" s="26" t="inlineStr">
        <is>
          <t>3608051835</t>
        </is>
      </c>
      <c r="D92" s="26" t="inlineStr">
        <is>
          <t>2000-02-29</t>
        </is>
      </c>
      <c r="E92" s="26" t="n">
        <v>26.3</v>
      </c>
      <c r="F92" s="26" t="n"/>
      <c r="G92" s="26" t="inlineStr">
        <is>
          <t>Hot - logged</t>
        </is>
      </c>
      <c r="H92" s="26" t="n"/>
      <c r="I92" s="20" t="n">
        <v>2</v>
      </c>
    </row>
    <row r="93" ht="15" customHeight="1" s="21">
      <c r="A93" s="26" t="inlineStr">
        <is>
          <t>Island Heating &amp; A/C Inc</t>
        </is>
      </c>
      <c r="B93" s="26" t="inlineStr">
        <is>
          <t>Oak Harbor</t>
        </is>
      </c>
      <c r="C93" s="26" t="inlineStr">
        <is>
          <t>3606791900</t>
        </is>
      </c>
      <c r="D93" s="26" t="inlineStr">
        <is>
          <t>2000-03-01</t>
        </is>
      </c>
      <c r="E93" s="26" t="n">
        <v>26.3</v>
      </c>
      <c r="F93" s="26" t="inlineStr">
        <is>
          <t>Yes</t>
        </is>
      </c>
      <c r="G93" s="26" t="n"/>
      <c r="H93" s="26" t="n"/>
      <c r="I93" s="20" t="n">
        <v>2</v>
      </c>
    </row>
    <row r="94" ht="15" customHeight="1" s="21">
      <c r="A94" s="26" t="inlineStr">
        <is>
          <t>Polhamus Heating &amp; A/C Inc</t>
        </is>
      </c>
      <c r="B94" s="26" t="inlineStr">
        <is>
          <t>Moses Lake</t>
        </is>
      </c>
      <c r="C94" s="26" t="inlineStr">
        <is>
          <t>5097658524</t>
        </is>
      </c>
      <c r="D94" s="26" t="inlineStr">
        <is>
          <t>2000-03-06</t>
        </is>
      </c>
      <c r="E94" s="26" t="n">
        <v>26.3</v>
      </c>
      <c r="F94" s="26" t="n"/>
      <c r="G94" s="26" t="inlineStr">
        <is>
          <t>Skip - logged</t>
        </is>
      </c>
      <c r="H94" s="26" t="n"/>
      <c r="I94" s="20" t="n">
        <v>2</v>
      </c>
    </row>
    <row r="95" ht="15" customHeight="1" s="21">
      <c r="A95" s="26" t="inlineStr">
        <is>
          <t>Tide Water Plbg &amp; Mechanical</t>
        </is>
      </c>
      <c r="B95" s="26" t="inlineStr">
        <is>
          <t>Anacortes</t>
        </is>
      </c>
      <c r="C95" s="26" t="inlineStr">
        <is>
          <t>3602011015</t>
        </is>
      </c>
      <c r="D95" s="26" t="inlineStr">
        <is>
          <t>2000-05-16</t>
        </is>
      </c>
      <c r="E95" s="26" t="n">
        <v>26.1</v>
      </c>
      <c r="F95" s="26" t="n"/>
      <c r="G95" s="26" t="inlineStr">
        <is>
          <t>Hot - logged</t>
        </is>
      </c>
      <c r="H95" s="26" t="n"/>
      <c r="I95" s="20" t="n">
        <v>2</v>
      </c>
    </row>
    <row r="96" ht="15" customHeight="1" s="21">
      <c r="A96" s="26" t="inlineStr">
        <is>
          <t>Ben'S Heating Service Inc</t>
        </is>
      </c>
      <c r="B96" s="26" t="inlineStr">
        <is>
          <t>Port Townsend</t>
        </is>
      </c>
      <c r="C96" s="26" t="inlineStr">
        <is>
          <t>3606433474</t>
        </is>
      </c>
      <c r="D96" s="26" t="inlineStr">
        <is>
          <t>2000-07-10</t>
        </is>
      </c>
      <c r="E96" s="26" t="n">
        <v>26</v>
      </c>
      <c r="F96" s="26" t="inlineStr">
        <is>
          <t>Yes</t>
        </is>
      </c>
      <c r="G96" s="26" t="n"/>
      <c r="H96" s="26" t="n"/>
      <c r="I96" s="20" t="n">
        <v>2</v>
      </c>
    </row>
    <row r="97" ht="15" customHeight="1" s="21">
      <c r="A97" s="26" t="inlineStr">
        <is>
          <t>Bob Rhodes Heating And A/C Inc</t>
        </is>
      </c>
      <c r="B97" s="26" t="inlineStr">
        <is>
          <t>Kennewick</t>
        </is>
      </c>
      <c r="C97" s="26" t="inlineStr">
        <is>
          <t>5097833291</t>
        </is>
      </c>
      <c r="D97" s="26" t="inlineStr">
        <is>
          <t>2000-07-17</t>
        </is>
      </c>
      <c r="E97" s="26" t="n">
        <v>26</v>
      </c>
      <c r="F97" s="26" t="n"/>
      <c r="G97" s="26" t="inlineStr">
        <is>
          <t>Imported (legacy)</t>
        </is>
      </c>
      <c r="H97" s="26" t="n"/>
      <c r="I97" s="20" t="n">
        <v>2</v>
      </c>
    </row>
    <row r="98" ht="15" customHeight="1" s="21">
      <c r="A98" s="26" t="inlineStr">
        <is>
          <t>Platte Htg &amp; A/C Inc</t>
        </is>
      </c>
      <c r="B98" s="26" t="inlineStr">
        <is>
          <t>Yakima</t>
        </is>
      </c>
      <c r="C98" s="26" t="inlineStr">
        <is>
          <t>5099653538</t>
        </is>
      </c>
      <c r="D98" s="26" t="inlineStr">
        <is>
          <t>2000-08-31</t>
        </is>
      </c>
      <c r="E98" s="26" t="n">
        <v>25.8</v>
      </c>
      <c r="F98" s="26" t="n"/>
      <c r="G98" s="26" t="inlineStr">
        <is>
          <t>Hot - logged</t>
        </is>
      </c>
      <c r="H98" s="26" t="n"/>
      <c r="I98" s="20" t="n">
        <v>2</v>
      </c>
    </row>
    <row r="99" ht="15" customHeight="1" s="21">
      <c r="A99" s="26" t="inlineStr">
        <is>
          <t>Horst Inc</t>
        </is>
      </c>
      <c r="B99" s="26" t="inlineStr">
        <is>
          <t>Pasco</t>
        </is>
      </c>
      <c r="C99" s="26" t="inlineStr">
        <is>
          <t>5096270967</t>
        </is>
      </c>
      <c r="D99" s="26" t="inlineStr">
        <is>
          <t>2000-09-25</t>
        </is>
      </c>
      <c r="E99" s="26" t="n">
        <v>25.8</v>
      </c>
      <c r="F99" s="26" t="n"/>
      <c r="G99" s="26" t="inlineStr">
        <is>
          <t>Hot - logged</t>
        </is>
      </c>
      <c r="H99" s="26" t="n"/>
      <c r="I99" s="20" t="n">
        <v>2</v>
      </c>
    </row>
    <row r="100" ht="15" customHeight="1" s="21">
      <c r="A100" s="26" t="inlineStr">
        <is>
          <t>Farwest Climate Control Inc</t>
        </is>
      </c>
      <c r="B100" s="26" t="inlineStr">
        <is>
          <t>Yakima</t>
        </is>
      </c>
      <c r="C100" s="26" t="inlineStr">
        <is>
          <t>5094575346</t>
        </is>
      </c>
      <c r="D100" s="26" t="inlineStr">
        <is>
          <t>2001-01-02</t>
        </is>
      </c>
      <c r="E100" s="26" t="n">
        <v>25.5</v>
      </c>
      <c r="F100" s="26" t="n"/>
      <c r="G100" s="26" t="inlineStr">
        <is>
          <t>Skip - logged</t>
        </is>
      </c>
      <c r="H100" s="26" t="n"/>
      <c r="I100" s="20" t="n">
        <v>2</v>
      </c>
    </row>
    <row r="101" ht="15" customHeight="1" s="21">
      <c r="A101" s="26" t="inlineStr">
        <is>
          <t>Feltons Heating &amp; Cooling Inc</t>
        </is>
      </c>
      <c r="B101" s="26" t="inlineStr">
        <is>
          <t>Longview</t>
        </is>
      </c>
      <c r="C101" s="26" t="inlineStr">
        <is>
          <t>3605775871</t>
        </is>
      </c>
      <c r="D101" s="26" t="inlineStr">
        <is>
          <t>2001-04-04</t>
        </is>
      </c>
      <c r="E101" s="26" t="n">
        <v>25.2</v>
      </c>
      <c r="F101" s="26" t="n"/>
      <c r="G101" s="26" t="inlineStr">
        <is>
          <t>Skip - logged (PASF/Step 24)</t>
        </is>
      </c>
      <c r="H101" s="26" t="n"/>
      <c r="I101" s="20" t="n">
        <v>2</v>
      </c>
    </row>
    <row r="102" ht="15" customHeight="1" s="21">
      <c r="A102" s="26" t="inlineStr">
        <is>
          <t>Absolute Air Inc</t>
        </is>
      </c>
      <c r="B102" s="26" t="inlineStr">
        <is>
          <t>Port Angeles</t>
        </is>
      </c>
      <c r="C102" s="26" t="inlineStr">
        <is>
          <t>3604528444</t>
        </is>
      </c>
      <c r="D102" s="26" t="inlineStr">
        <is>
          <t>2001-05-02</t>
        </is>
      </c>
      <c r="E102" s="26" t="n">
        <v>25.2</v>
      </c>
      <c r="F102" s="26" t="inlineStr">
        <is>
          <t>Yes</t>
        </is>
      </c>
      <c r="G102" s="26" t="n"/>
      <c r="H102" s="26" t="n"/>
      <c r="I102" s="20" t="n">
        <v>2</v>
      </c>
    </row>
    <row r="103" ht="15" customHeight="1" s="21">
      <c r="A103" s="26" t="inlineStr">
        <is>
          <t>Dave'S Htg &amp; Cooling Srvc Inc</t>
        </is>
      </c>
      <c r="B103" s="26" t="inlineStr">
        <is>
          <t>Port Angeles</t>
        </is>
      </c>
      <c r="C103" s="26" t="inlineStr">
        <is>
          <t>3604520939</t>
        </is>
      </c>
      <c r="D103" s="26" t="inlineStr">
        <is>
          <t>2001-05-03</t>
        </is>
      </c>
      <c r="E103" s="26" t="n">
        <v>25.2</v>
      </c>
      <c r="F103" s="26" t="n"/>
      <c r="G103" s="26" t="inlineStr">
        <is>
          <t>Already in sheet (Round 6 Warm, name variant)</t>
        </is>
      </c>
      <c r="H103" s="26" t="n"/>
      <c r="I103" s="20" t="n">
        <v>2</v>
      </c>
    </row>
    <row r="104" ht="15" customHeight="1" s="21">
      <c r="A104" s="26" t="inlineStr">
        <is>
          <t>Daves Htg &amp; Cooling Srvc Inc</t>
        </is>
      </c>
      <c r="B104" s="26" t="inlineStr">
        <is>
          <t>Port Angeles</t>
        </is>
      </c>
      <c r="C104" s="26" t="inlineStr">
        <is>
          <t>3604520939</t>
        </is>
      </c>
      <c r="D104" s="26" t="inlineStr">
        <is>
          <t>2001-05-10</t>
        </is>
      </c>
      <c r="E104" s="26" t="n">
        <v>25.1</v>
      </c>
      <c r="F104" s="26" t="n"/>
      <c r="G104" s="26" t="inlineStr">
        <is>
          <t>Already in sheet (Round 6 Warm, dup row)</t>
        </is>
      </c>
      <c r="H104" s="26" t="n"/>
      <c r="I104" s="20" t="n">
        <v>2</v>
      </c>
    </row>
    <row r="105" ht="15" customHeight="1" s="21">
      <c r="A105" s="26" t="inlineStr">
        <is>
          <t>Chinook Heating &amp; Air Inc</t>
        </is>
      </c>
      <c r="B105" s="26" t="inlineStr">
        <is>
          <t>Kennewick</t>
        </is>
      </c>
      <c r="C105" s="26" t="inlineStr">
        <is>
          <t>5097361121</t>
        </is>
      </c>
      <c r="D105" s="26" t="inlineStr">
        <is>
          <t>2001-07-10</t>
        </is>
      </c>
      <c r="E105" s="26" t="n">
        <v>25</v>
      </c>
      <c r="F105" s="26" t="n"/>
      <c r="G105" s="26" t="inlineStr">
        <is>
          <t>Imported (legacy)</t>
        </is>
      </c>
      <c r="H105" s="26" t="n"/>
      <c r="I105" s="20" t="n">
        <v>2</v>
      </c>
    </row>
    <row r="106" ht="15" customHeight="1" s="21">
      <c r="A106" s="26" t="inlineStr">
        <is>
          <t>Snowline Refrigeration Inc</t>
        </is>
      </c>
      <c r="B106" s="26" t="inlineStr">
        <is>
          <t>Mount Vernon</t>
        </is>
      </c>
      <c r="C106" s="26" t="inlineStr">
        <is>
          <t>3606611103</t>
        </is>
      </c>
      <c r="D106" s="26" t="inlineStr">
        <is>
          <t>2001-12-28</t>
        </is>
      </c>
      <c r="E106" s="26" t="n">
        <v>24.5</v>
      </c>
      <c r="F106" s="26" t="n"/>
      <c r="G106" s="26" t="inlineStr">
        <is>
          <t>Hot - logged</t>
        </is>
      </c>
      <c r="H106" s="26" t="n"/>
      <c r="I106" s="20" t="n">
        <v>2</v>
      </c>
    </row>
    <row r="107" ht="15" customHeight="1" s="21">
      <c r="A107" s="26" t="inlineStr">
        <is>
          <t>Northwest Energy Sys Of Wa Inc</t>
        </is>
      </c>
      <c r="B107" s="26" t="inlineStr">
        <is>
          <t>Bellingham</t>
        </is>
      </c>
      <c r="C107" s="26" t="inlineStr">
        <is>
          <t>3607344328</t>
        </is>
      </c>
      <c r="D107" s="26" t="inlineStr">
        <is>
          <t>2002-02-28</t>
        </is>
      </c>
      <c r="E107" s="26" t="n">
        <v>24.3</v>
      </c>
      <c r="F107" s="26" t="n"/>
      <c r="G107" s="26" t="inlineStr">
        <is>
          <t>Skip - logged</t>
        </is>
      </c>
      <c r="H107" s="26" t="n"/>
      <c r="I107" s="20" t="n">
        <v>2</v>
      </c>
    </row>
    <row r="108" ht="15" customHeight="1" s="21">
      <c r="A108" s="26" t="inlineStr">
        <is>
          <t>Northwest Rfrg Contrs Inc</t>
        </is>
      </c>
      <c r="B108" s="26" t="inlineStr">
        <is>
          <t>Yakima</t>
        </is>
      </c>
      <c r="C108" s="26" t="inlineStr">
        <is>
          <t>5092489588</t>
        </is>
      </c>
      <c r="D108" s="26" t="inlineStr">
        <is>
          <t>2002-03-01</t>
        </is>
      </c>
      <c r="E108" s="26" t="n">
        <v>24.3</v>
      </c>
      <c r="F108" s="26" t="n"/>
      <c r="G108" s="26" t="inlineStr">
        <is>
          <t>Skip - logged (name pre-filter)</t>
        </is>
      </c>
      <c r="H108" s="26" t="n"/>
      <c r="I108" s="20" t="n">
        <v>2</v>
      </c>
    </row>
    <row r="109" ht="15" customHeight="1" s="21">
      <c r="A109" s="26" t="inlineStr">
        <is>
          <t>Apex Radiant Heating</t>
        </is>
      </c>
      <c r="B109" s="26" t="inlineStr">
        <is>
          <t>Mount Vernon</t>
        </is>
      </c>
      <c r="C109" s="26" t="inlineStr">
        <is>
          <t>3603362461</t>
        </is>
      </c>
      <c r="D109" s="26" t="inlineStr">
        <is>
          <t>2002-05-23</t>
        </is>
      </c>
      <c r="E109" s="26" t="n">
        <v>24.1</v>
      </c>
      <c r="F109" s="26" t="n"/>
      <c r="G109" s="26" t="inlineStr">
        <is>
          <t>Hot - logged</t>
        </is>
      </c>
      <c r="H109" s="26" t="n"/>
      <c r="I109" s="20" t="n">
        <v>2</v>
      </c>
    </row>
    <row r="110" ht="15" customHeight="1" s="21">
      <c r="A110" s="26" t="inlineStr">
        <is>
          <t>Ray Heating &amp; A/C Inc</t>
        </is>
      </c>
      <c r="B110" s="26" t="inlineStr">
        <is>
          <t>Bellingham</t>
        </is>
      </c>
      <c r="C110" s="26" t="inlineStr">
        <is>
          <t>3606715555</t>
        </is>
      </c>
      <c r="D110" s="26" t="inlineStr">
        <is>
          <t>2002-08-05</t>
        </is>
      </c>
      <c r="E110" s="26" t="n">
        <v>23.9</v>
      </c>
      <c r="F110" s="26" t="n"/>
      <c r="G110" s="26" t="inlineStr">
        <is>
          <t>Watch - logged</t>
        </is>
      </c>
      <c r="H110" s="26" t="inlineStr">
        <is>
          <t>PASF intel 2026-07-02: GMB "Ray Heating &amp; AC, Inc." 5.0/1 - exists, low-review; check website + L&amp;I longevity path next session</t>
        </is>
      </c>
      <c r="I110" s="20" t="n">
        <v>2</v>
      </c>
    </row>
    <row r="111" ht="15" customHeight="1" s="21">
      <c r="A111" s="26" t="inlineStr">
        <is>
          <t>Foss Heating &amp; Cooling Inc</t>
        </is>
      </c>
      <c r="B111" s="26" t="inlineStr">
        <is>
          <t>Mount Vernon</t>
        </is>
      </c>
      <c r="C111" s="26" t="inlineStr">
        <is>
          <t>3603361517</t>
        </is>
      </c>
      <c r="D111" s="26" t="inlineStr">
        <is>
          <t>2002-11-01</t>
        </is>
      </c>
      <c r="E111" s="26" t="n">
        <v>23.7</v>
      </c>
      <c r="F111" s="26" t="inlineStr">
        <is>
          <t>Yes</t>
        </is>
      </c>
      <c r="G111" s="26" t="n"/>
      <c r="H111" s="26" t="n"/>
      <c r="I111" s="20" t="n">
        <v>2</v>
      </c>
    </row>
    <row r="112" ht="15" customHeight="1" s="21">
      <c r="A112" s="26" t="inlineStr">
        <is>
          <t>Thermex Valley Heating &amp; A/C</t>
        </is>
      </c>
      <c r="B112" s="26" t="inlineStr">
        <is>
          <t>Yakima</t>
        </is>
      </c>
      <c r="C112" s="26" t="inlineStr">
        <is>
          <t>5099650630</t>
        </is>
      </c>
      <c r="D112" s="26" t="inlineStr">
        <is>
          <t>2003-03-04</t>
        </is>
      </c>
      <c r="E112" s="26" t="n">
        <v>23.3</v>
      </c>
      <c r="F112" s="26" t="n"/>
      <c r="G112" s="26" t="inlineStr">
        <is>
          <t>Skip - logged</t>
        </is>
      </c>
      <c r="H112" s="26" t="n"/>
      <c r="I112" s="20" t="n">
        <v>2</v>
      </c>
    </row>
    <row r="113" ht="15" customHeight="1" s="21">
      <c r="A113" s="26" t="inlineStr">
        <is>
          <t>L &amp; Y Htg &amp; Air Conditioning</t>
        </is>
      </c>
      <c r="B113" s="26" t="inlineStr">
        <is>
          <t>Spokane</t>
        </is>
      </c>
      <c r="C113" s="26" t="inlineStr">
        <is>
          <t>5097147801</t>
        </is>
      </c>
      <c r="D113" s="26" t="inlineStr">
        <is>
          <t>2003-05-01</t>
        </is>
      </c>
      <c r="E113" s="26" t="n">
        <v>23.2</v>
      </c>
      <c r="F113" s="26" t="n"/>
      <c r="G113" s="26" t="inlineStr">
        <is>
          <t>Hot - logged</t>
        </is>
      </c>
      <c r="H113" s="26" t="n"/>
      <c r="I113" s="20" t="n">
        <v>2</v>
      </c>
    </row>
    <row r="114" ht="15" customHeight="1" s="21">
      <c r="A114" s="26" t="inlineStr">
        <is>
          <t>C &amp; C Olympic Heating Inc</t>
        </is>
      </c>
      <c r="B114" s="26" t="inlineStr">
        <is>
          <t>Snohomish</t>
        </is>
      </c>
      <c r="C114" s="26" t="inlineStr">
        <is>
          <t>4256700277</t>
        </is>
      </c>
      <c r="D114" s="26" t="inlineStr">
        <is>
          <t>2003-06-05</t>
        </is>
      </c>
      <c r="E114" s="26" t="n">
        <v>23.1</v>
      </c>
      <c r="F114" s="26" t="n"/>
      <c r="G114" s="26" t="inlineStr">
        <is>
          <t>Hot - logged</t>
        </is>
      </c>
      <c r="H114" s="26" t="n"/>
      <c r="I114" s="20" t="n">
        <v>2</v>
      </c>
    </row>
    <row r="115" ht="15" customHeight="1" s="21">
      <c r="A115" s="26" t="inlineStr">
        <is>
          <t>Duro Heating Service</t>
        </is>
      </c>
      <c r="B115" s="26" t="inlineStr">
        <is>
          <t>Snohomish</t>
        </is>
      </c>
      <c r="C115" s="26" t="inlineStr">
        <is>
          <t>2062442378</t>
        </is>
      </c>
      <c r="D115" s="26" t="inlineStr">
        <is>
          <t>2003-09-29</t>
        </is>
      </c>
      <c r="E115" s="26" t="n">
        <v>22.8</v>
      </c>
      <c r="F115" s="26" t="n"/>
      <c r="G115" s="26" t="inlineStr">
        <is>
          <t>Hot - logged</t>
        </is>
      </c>
      <c r="H115" s="26" t="n"/>
      <c r="I115" s="20" t="n">
        <v>2</v>
      </c>
    </row>
    <row r="116" ht="15" customHeight="1" s="21">
      <c r="A116" s="26" t="inlineStr">
        <is>
          <t>Ace Heating &amp; Cooling</t>
        </is>
      </c>
      <c r="B116" s="26" t="inlineStr">
        <is>
          <t>Prosser</t>
        </is>
      </c>
      <c r="C116" s="26" t="inlineStr">
        <is>
          <t>5099471821</t>
        </is>
      </c>
      <c r="D116" s="26" t="inlineStr">
        <is>
          <t>2003-10-27</t>
        </is>
      </c>
      <c r="E116" s="26" t="n">
        <v>22.7</v>
      </c>
      <c r="F116" s="26" t="n"/>
      <c r="G116" s="26" t="inlineStr">
        <is>
          <t>Watch - logged</t>
        </is>
      </c>
      <c r="H116" s="26" t="n"/>
      <c r="I116" s="20" t="n">
        <v>2</v>
      </c>
    </row>
    <row r="117" ht="15" customHeight="1" s="21">
      <c r="A117" s="26" t="inlineStr">
        <is>
          <t>Bos Refrigeration</t>
        </is>
      </c>
      <c r="B117" s="26" t="inlineStr">
        <is>
          <t>Sunnyside</t>
        </is>
      </c>
      <c r="C117" s="26" t="inlineStr">
        <is>
          <t>5098393466</t>
        </is>
      </c>
      <c r="D117" s="26" t="inlineStr">
        <is>
          <t>2004-10-05</t>
        </is>
      </c>
      <c r="E117" s="26" t="n">
        <v>21.7</v>
      </c>
      <c r="F117" s="26" t="inlineStr">
        <is>
          <t>Yes</t>
        </is>
      </c>
      <c r="G117" s="26" t="n"/>
      <c r="H117" s="26" t="n"/>
      <c r="I117" s="20" t="n">
        <v>2</v>
      </c>
    </row>
    <row r="118" ht="15" customHeight="1" s="21">
      <c r="A118" s="26" t="inlineStr">
        <is>
          <t>Steelhead Mechanical Llc</t>
        </is>
      </c>
      <c r="B118" s="26" t="inlineStr">
        <is>
          <t>Spokane</t>
        </is>
      </c>
      <c r="C118" s="26" t="inlineStr">
        <is>
          <t>5099248088</t>
        </is>
      </c>
      <c r="D118" s="26" t="inlineStr">
        <is>
          <t>2004-10-05</t>
        </is>
      </c>
      <c r="E118" s="26" t="n">
        <v>21.7</v>
      </c>
      <c r="F118" s="26" t="inlineStr">
        <is>
          <t>Yes</t>
        </is>
      </c>
      <c r="G118" s="26" t="n"/>
      <c r="H118" s="26" t="n"/>
      <c r="I118" s="20" t="n">
        <v>2</v>
      </c>
    </row>
    <row r="119" ht="15" customHeight="1" s="21">
      <c r="A119" s="26" t="inlineStr">
        <is>
          <t>Johansen Mechanical Inc</t>
        </is>
      </c>
      <c r="B119" s="26" t="inlineStr">
        <is>
          <t>Monroe</t>
        </is>
      </c>
      <c r="C119" s="26" t="inlineStr">
        <is>
          <t>4254812266</t>
        </is>
      </c>
      <c r="D119" s="26" t="inlineStr">
        <is>
          <t>2004-10-27</t>
        </is>
      </c>
      <c r="E119" s="26" t="n">
        <v>21.7</v>
      </c>
      <c r="F119" s="26" t="inlineStr">
        <is>
          <t>Yes</t>
        </is>
      </c>
      <c r="G119" s="26" t="n"/>
      <c r="H119" s="26" t="n"/>
      <c r="I119" s="20" t="n">
        <v>2</v>
      </c>
    </row>
    <row r="120" ht="15" customHeight="1" s="21">
      <c r="A120" s="26" t="inlineStr">
        <is>
          <t>Air-Tech Llc</t>
        </is>
      </c>
      <c r="B120" s="26" t="inlineStr">
        <is>
          <t>Stanwood</t>
        </is>
      </c>
      <c r="C120" s="26" t="inlineStr">
        <is>
          <t>3604204910</t>
        </is>
      </c>
      <c r="D120" s="26" t="inlineStr">
        <is>
          <t>2005-02-16</t>
        </is>
      </c>
      <c r="E120" s="26" t="n">
        <v>21.4</v>
      </c>
      <c r="F120" s="26" t="n"/>
      <c r="G120" s="26" t="inlineStr">
        <is>
          <t>Hot - logged</t>
        </is>
      </c>
      <c r="H120" s="26" t="n"/>
      <c r="I120" s="20" t="n">
        <v>2</v>
      </c>
    </row>
    <row r="121" ht="15" customHeight="1" s="21">
      <c r="A121" s="26" t="inlineStr">
        <is>
          <t>Northshore Heating Llc</t>
        </is>
      </c>
      <c r="B121" s="26" t="inlineStr">
        <is>
          <t>Arlington</t>
        </is>
      </c>
      <c r="C121" s="26" t="inlineStr">
        <is>
          <t>4253308586</t>
        </is>
      </c>
      <c r="D121" s="26" t="inlineStr">
        <is>
          <t>2005-04-12</t>
        </is>
      </c>
      <c r="E121" s="26" t="n">
        <v>21.2</v>
      </c>
      <c r="F121" s="26" t="n"/>
      <c r="G121" s="26" t="inlineStr">
        <is>
          <t>Hot - logged</t>
        </is>
      </c>
      <c r="H121" s="26" t="n"/>
      <c r="I121" s="20" t="n">
        <v>2</v>
      </c>
    </row>
    <row r="122" ht="15" customHeight="1" s="21">
      <c r="A122" s="26" t="inlineStr">
        <is>
          <t>Evergreen Heating &amp; Cooling</t>
        </is>
      </c>
      <c r="B122" s="26" t="inlineStr">
        <is>
          <t>Spokane</t>
        </is>
      </c>
      <c r="C122" s="26" t="inlineStr">
        <is>
          <t>5095348305</t>
        </is>
      </c>
      <c r="D122" s="26" t="inlineStr">
        <is>
          <t>2005-10-12</t>
        </is>
      </c>
      <c r="E122" s="26" t="n">
        <v>20.7</v>
      </c>
      <c r="F122" s="26" t="n"/>
      <c r="G122" s="26" t="inlineStr">
        <is>
          <t>Imported (legacy)</t>
        </is>
      </c>
      <c r="H122" s="26" t="n"/>
      <c r="I122" s="20" t="n">
        <v>2</v>
      </c>
    </row>
    <row r="123" ht="15" customHeight="1" s="21">
      <c r="A123" s="26" t="inlineStr">
        <is>
          <t>Yakima Mechanical Inc</t>
        </is>
      </c>
      <c r="B123" s="26" t="inlineStr">
        <is>
          <t>Yakima</t>
        </is>
      </c>
      <c r="C123" s="26" t="inlineStr">
        <is>
          <t>5094692773</t>
        </is>
      </c>
      <c r="D123" s="26" t="inlineStr">
        <is>
          <t>2005-12-21</t>
        </is>
      </c>
      <c r="E123" s="26" t="n">
        <v>20.5</v>
      </c>
      <c r="F123" s="26" t="n"/>
      <c r="G123" s="26" t="inlineStr">
        <is>
          <t>Watch - logged (PASF)</t>
        </is>
      </c>
      <c r="H123" s="26" t="n"/>
      <c r="I123" s="20" t="n">
        <v>2</v>
      </c>
    </row>
    <row r="124" ht="15" customHeight="1" s="21">
      <c r="A124" s="26" t="inlineStr">
        <is>
          <t>Carlson Mechanical</t>
        </is>
      </c>
      <c r="B124" s="26" t="inlineStr">
        <is>
          <t>Snohomish</t>
        </is>
      </c>
      <c r="C124" s="26" t="inlineStr">
        <is>
          <t>2065330685</t>
        </is>
      </c>
      <c r="D124" s="26" t="inlineStr">
        <is>
          <t>2006-01-03</t>
        </is>
      </c>
      <c r="E124" s="26" t="n">
        <v>20.5</v>
      </c>
      <c r="F124" s="26" t="n"/>
      <c r="G124" s="26" t="inlineStr">
        <is>
          <t>Skip - logged</t>
        </is>
      </c>
      <c r="H124" s="26" t="n"/>
      <c r="I124" s="20" t="n">
        <v>2</v>
      </c>
    </row>
    <row r="125" ht="15" customHeight="1" s="21">
      <c r="A125" s="26" t="inlineStr">
        <is>
          <t>Anderson'S Htg &amp; Plumbing Inc</t>
        </is>
      </c>
      <c r="B125" s="26" t="inlineStr">
        <is>
          <t>Spokane Valley</t>
        </is>
      </c>
      <c r="C125" s="26" t="inlineStr">
        <is>
          <t>5099280960</t>
        </is>
      </c>
      <c r="D125" s="26" t="inlineStr">
        <is>
          <t>2006-01-20</t>
        </is>
      </c>
      <c r="E125" s="26" t="n">
        <v>20.4</v>
      </c>
      <c r="F125" s="26" t="n"/>
      <c r="G125" s="26" t="inlineStr">
        <is>
          <t>Warm - logged</t>
        </is>
      </c>
      <c r="H125" s="26" t="n"/>
      <c r="I125" s="20" t="n">
        <v>2</v>
      </c>
    </row>
    <row r="126" ht="15" customHeight="1" s="21">
      <c r="A126" s="26" t="inlineStr">
        <is>
          <t>Haas Heating Llc</t>
        </is>
      </c>
      <c r="B126" s="26" t="inlineStr">
        <is>
          <t>Enumclaw</t>
        </is>
      </c>
      <c r="C126" s="26" t="inlineStr">
        <is>
          <t>2063715413</t>
        </is>
      </c>
      <c r="D126" s="26" t="inlineStr">
        <is>
          <t>2006-03-15</t>
        </is>
      </c>
      <c r="E126" s="26" t="n">
        <v>20.3</v>
      </c>
      <c r="F126" s="26" t="n"/>
      <c r="G126" s="26" t="inlineStr">
        <is>
          <t>Hot - logged</t>
        </is>
      </c>
      <c r="H126" s="26" t="n"/>
      <c r="I126" s="20" t="n">
        <v>2</v>
      </c>
    </row>
    <row r="127" ht="15" customHeight="1" s="21">
      <c r="A127" s="26" t="inlineStr">
        <is>
          <t>Airwest Inc</t>
        </is>
      </c>
      <c r="B127" s="26" t="inlineStr">
        <is>
          <t>Aberdeen</t>
        </is>
      </c>
      <c r="C127" s="26" t="inlineStr">
        <is>
          <t>3606482020</t>
        </is>
      </c>
      <c r="D127" s="26" t="inlineStr">
        <is>
          <t>2006-06-14</t>
        </is>
      </c>
      <c r="E127" s="26" t="n">
        <v>20</v>
      </c>
      <c r="F127" s="26" t="n"/>
      <c r="G127" s="26" t="inlineStr">
        <is>
          <t>Skip - logged (closed)</t>
        </is>
      </c>
      <c r="H127" s="26" t="n"/>
      <c r="I127" s="20" t="n">
        <v>2</v>
      </c>
    </row>
    <row r="128" ht="15" customHeight="1" s="21">
      <c r="A128" s="26" t="inlineStr">
        <is>
          <t>Able Air Llc</t>
        </is>
      </c>
      <c r="B128" s="26" t="inlineStr">
        <is>
          <t>Enumclaw</t>
        </is>
      </c>
      <c r="C128" s="26" t="inlineStr">
        <is>
          <t>3608022253</t>
        </is>
      </c>
      <c r="D128" s="26" t="inlineStr">
        <is>
          <t>2006-07-03</t>
        </is>
      </c>
      <c r="E128" s="26" t="n">
        <v>20</v>
      </c>
      <c r="F128" s="26" t="n"/>
      <c r="G128" s="26" t="inlineStr">
        <is>
          <t>Already in sheet (Round 9, Enumclaw/Buckley overlap)</t>
        </is>
      </c>
      <c r="H128" s="26" t="n"/>
      <c r="I128" s="20" t="n">
        <v>2</v>
      </c>
    </row>
    <row r="129" ht="15" customHeight="1" s="21">
      <c r="A129" s="26" t="inlineStr">
        <is>
          <t>Stilly River Mechanical Inc</t>
        </is>
      </c>
      <c r="B129" s="26" t="inlineStr">
        <is>
          <t>Stanwood</t>
        </is>
      </c>
      <c r="C129" s="26" t="inlineStr">
        <is>
          <t>3603873788</t>
        </is>
      </c>
      <c r="D129" s="26" t="inlineStr">
        <is>
          <t>2006-07-07</t>
        </is>
      </c>
      <c r="E129" s="26" t="n">
        <v>20</v>
      </c>
      <c r="F129" s="26" t="inlineStr">
        <is>
          <t>Yes</t>
        </is>
      </c>
      <c r="G129" s="26" t="n"/>
      <c r="H129" s="26" t="n"/>
      <c r="I129" s="20" t="n">
        <v>2</v>
      </c>
    </row>
    <row r="130" ht="15" customHeight="1" s="21">
      <c r="A130" s="26" t="inlineStr">
        <is>
          <t>North Star Htg And Cooling Llc</t>
        </is>
      </c>
      <c r="B130" s="26" t="inlineStr">
        <is>
          <t>Snohomish</t>
        </is>
      </c>
      <c r="C130" s="26" t="inlineStr">
        <is>
          <t>4253271136</t>
        </is>
      </c>
      <c r="D130" s="26" t="inlineStr">
        <is>
          <t>2006-10-13</t>
        </is>
      </c>
      <c r="E130" s="26" t="n">
        <v>19.7</v>
      </c>
      <c r="F130" s="26" t="n"/>
      <c r="G130" s="26" t="inlineStr">
        <is>
          <t>Hot - logged</t>
        </is>
      </c>
      <c r="H130" s="26" t="n"/>
      <c r="I130" s="20" t="n">
        <v>2</v>
      </c>
    </row>
    <row r="131" ht="15" customHeight="1" s="21">
      <c r="A131" s="26" t="inlineStr">
        <is>
          <t>North Star Htg &amp; Cooling Llc</t>
        </is>
      </c>
      <c r="B131" s="26" t="inlineStr">
        <is>
          <t>Snohomish</t>
        </is>
      </c>
      <c r="C131" s="26" t="inlineStr">
        <is>
          <t>4253271136</t>
        </is>
      </c>
      <c r="D131" s="26" t="inlineStr">
        <is>
          <t>2006-10-13</t>
        </is>
      </c>
      <c r="E131" s="26" t="n">
        <v>19.7</v>
      </c>
      <c r="F131" s="26" t="n"/>
      <c r="G131" s="26" t="inlineStr">
        <is>
          <t>Hot - logged (dup row)</t>
        </is>
      </c>
      <c r="H131" s="26" t="n"/>
      <c r="I131" s="20" t="n">
        <v>2</v>
      </c>
    </row>
    <row r="132" ht="15" customHeight="1" s="21">
      <c r="A132" s="26" t="inlineStr">
        <is>
          <t>Ductvac Northwest Llc</t>
        </is>
      </c>
      <c r="B132" s="26" t="inlineStr">
        <is>
          <t>Spokane Valley</t>
        </is>
      </c>
      <c r="C132" s="26" t="inlineStr">
        <is>
          <t>4255302470</t>
        </is>
      </c>
      <c r="D132" s="26" t="inlineStr">
        <is>
          <t>2007-01-19</t>
        </is>
      </c>
      <c r="E132" s="26" t="n">
        <v>19.4</v>
      </c>
      <c r="F132" s="26" t="n"/>
      <c r="G132" s="26" t="inlineStr">
        <is>
          <t>Skip - logged (name pre-filter)</t>
        </is>
      </c>
      <c r="H132" s="26" t="n"/>
      <c r="I132" s="20" t="n">
        <v>2</v>
      </c>
    </row>
    <row r="133" ht="15" customHeight="1" s="21">
      <c r="A133" s="26" t="inlineStr">
        <is>
          <t>Zone Mechanical &amp; Elec Svc</t>
        </is>
      </c>
      <c r="B133" s="26" t="inlineStr">
        <is>
          <t>Spokane Valley</t>
        </is>
      </c>
      <c r="C133" s="26" t="inlineStr">
        <is>
          <t>5093890811</t>
        </is>
      </c>
      <c r="D133" s="26" t="inlineStr">
        <is>
          <t>2007-02-27</t>
        </is>
      </c>
      <c r="E133" s="26" t="n">
        <v>19.3</v>
      </c>
      <c r="F133" s="26" t="n"/>
      <c r="G133" s="26" t="inlineStr">
        <is>
          <t>Watch - logged</t>
        </is>
      </c>
      <c r="H133" s="26" t="n"/>
      <c r="I133" s="20" t="n">
        <v>2</v>
      </c>
    </row>
    <row r="134" ht="15" customHeight="1" s="21">
      <c r="A134" s="26" t="inlineStr">
        <is>
          <t>Pringles Power Vac Inc</t>
        </is>
      </c>
      <c r="B134" s="26" t="inlineStr">
        <is>
          <t>Richland</t>
        </is>
      </c>
      <c r="C134" s="26" t="inlineStr">
        <is>
          <t>5093750500</t>
        </is>
      </c>
      <c r="D134" s="26" t="inlineStr">
        <is>
          <t>2007-03-01</t>
        </is>
      </c>
      <c r="E134" s="26" t="n">
        <v>19.3</v>
      </c>
      <c r="F134" s="26" t="n"/>
      <c r="G134" s="26" t="inlineStr">
        <is>
          <t>Skip - logged (name pre-filter)</t>
        </is>
      </c>
      <c r="H134" s="26" t="n"/>
      <c r="I134" s="20" t="n">
        <v>2</v>
      </c>
    </row>
    <row r="135" ht="15" customHeight="1" s="21">
      <c r="A135" s="26" t="inlineStr">
        <is>
          <t>Mcfarland Heating &amp; Air Llc</t>
        </is>
      </c>
      <c r="B135" s="26" t="inlineStr">
        <is>
          <t>Snohomish</t>
        </is>
      </c>
      <c r="C135" s="26" t="inlineStr">
        <is>
          <t>3605684205</t>
        </is>
      </c>
      <c r="D135" s="26" t="inlineStr">
        <is>
          <t>2007-04-19</t>
        </is>
      </c>
      <c r="E135" s="26" t="n">
        <v>19.2</v>
      </c>
      <c r="F135" s="26" t="inlineStr">
        <is>
          <t>Yes</t>
        </is>
      </c>
      <c r="G135" s="26" t="n"/>
      <c r="H135" s="26" t="n"/>
      <c r="I135" s="20" t="n">
        <v>2</v>
      </c>
    </row>
    <row r="136" ht="15" customHeight="1" s="21">
      <c r="A136" s="26" t="inlineStr">
        <is>
          <t>Atmospheric Heating Inc</t>
        </is>
      </c>
      <c r="B136" s="26" t="inlineStr">
        <is>
          <t>Marysville</t>
        </is>
      </c>
      <c r="C136" s="26" t="inlineStr">
        <is>
          <t>4253080337</t>
        </is>
      </c>
      <c r="D136" s="26" t="inlineStr">
        <is>
          <t>2007-04-20</t>
        </is>
      </c>
      <c r="E136" s="26" t="n">
        <v>19.2</v>
      </c>
      <c r="F136" s="26" t="n"/>
      <c r="G136" s="26" t="inlineStr">
        <is>
          <t>Hot - logged</t>
        </is>
      </c>
      <c r="H136" s="26" t="n"/>
      <c r="I136" s="20" t="n">
        <v>2</v>
      </c>
    </row>
    <row r="137" ht="15" customHeight="1" s="21">
      <c r="A137" s="26" t="inlineStr">
        <is>
          <t>Reliance Indoor Air Quality</t>
        </is>
      </c>
      <c r="B137" s="26" t="inlineStr">
        <is>
          <t>Lynden</t>
        </is>
      </c>
      <c r="C137" s="26" t="inlineStr">
        <is>
          <t>3604109159</t>
        </is>
      </c>
      <c r="D137" s="26" t="inlineStr">
        <is>
          <t>2007-05-25</t>
        </is>
      </c>
      <c r="E137" s="26" t="n">
        <v>19.1</v>
      </c>
      <c r="F137" s="26" t="inlineStr">
        <is>
          <t>Yes</t>
        </is>
      </c>
      <c r="G137" s="26" t="n"/>
      <c r="H137" s="26" t="n"/>
      <c r="I137" s="20" t="n">
        <v>2</v>
      </c>
    </row>
    <row r="138" ht="15" customHeight="1" s="21">
      <c r="A138" s="26" t="inlineStr">
        <is>
          <t>Central Wa Refrigeration Llc</t>
        </is>
      </c>
      <c r="B138" s="26" t="inlineStr">
        <is>
          <t>Yakima</t>
        </is>
      </c>
      <c r="C138" s="26" t="inlineStr">
        <is>
          <t>5092484600</t>
        </is>
      </c>
      <c r="D138" s="26" t="inlineStr">
        <is>
          <t>2007-06-28</t>
        </is>
      </c>
      <c r="E138" s="26" t="n">
        <v>19</v>
      </c>
      <c r="F138" s="26" t="n"/>
      <c r="G138" s="26" t="inlineStr">
        <is>
          <t>Skip - logged</t>
        </is>
      </c>
      <c r="H138" s="26" t="n"/>
      <c r="I138" s="20" t="n">
        <v>2</v>
      </c>
    </row>
    <row r="139" ht="15" customHeight="1" s="21">
      <c r="A139" s="26" t="inlineStr">
        <is>
          <t>Furnace Store Inc</t>
        </is>
      </c>
      <c r="B139" s="26" t="inlineStr">
        <is>
          <t>Moses Lake</t>
        </is>
      </c>
      <c r="C139" s="26" t="inlineStr">
        <is>
          <t>5097666400</t>
        </is>
      </c>
      <c r="D139" s="26" t="inlineStr">
        <is>
          <t>2007-08-13</t>
        </is>
      </c>
      <c r="E139" s="26" t="n">
        <v>18.9</v>
      </c>
      <c r="F139" s="26" t="n"/>
      <c r="G139" s="26" t="inlineStr">
        <is>
          <t>Watch - logged (PASF)</t>
        </is>
      </c>
      <c r="H139" s="26" t="n"/>
      <c r="I139" s="20" t="n">
        <v>2</v>
      </c>
    </row>
    <row r="140" ht="15" customHeight="1" s="21">
      <c r="A140" s="26" t="inlineStr">
        <is>
          <t>Air Ductors Inc</t>
        </is>
      </c>
      <c r="B140" s="26" t="inlineStr">
        <is>
          <t>Marysville</t>
        </is>
      </c>
      <c r="C140" s="26" t="inlineStr">
        <is>
          <t>8009703828</t>
        </is>
      </c>
      <c r="D140" s="26" t="inlineStr">
        <is>
          <t>2007-08-23</t>
        </is>
      </c>
      <c r="E140" s="26" t="n">
        <v>18.9</v>
      </c>
      <c r="F140" s="26" t="n"/>
      <c r="G140" s="26" t="inlineStr">
        <is>
          <t>Skip - logged (name pre-filter)</t>
        </is>
      </c>
      <c r="H140" s="26" t="n"/>
      <c r="I140" s="20" t="n">
        <v>2</v>
      </c>
    </row>
    <row r="141" ht="15" customHeight="1" s="21">
      <c r="A141" s="26" t="inlineStr">
        <is>
          <t>Wageman Heating &amp; Cooling</t>
        </is>
      </c>
      <c r="B141" s="26" t="inlineStr">
        <is>
          <t>Richland</t>
        </is>
      </c>
      <c r="C141" s="26" t="inlineStr">
        <is>
          <t>5094381102</t>
        </is>
      </c>
      <c r="D141" s="26" t="inlineStr">
        <is>
          <t>2007-08-31</t>
        </is>
      </c>
      <c r="E141" s="26" t="n">
        <v>18.8</v>
      </c>
      <c r="F141" s="26" t="n"/>
      <c r="G141" s="26" t="inlineStr">
        <is>
          <t>Hot - logged</t>
        </is>
      </c>
      <c r="H141" s="26" t="n"/>
      <c r="I141" s="20" t="n">
        <v>2</v>
      </c>
    </row>
    <row r="142" ht="15" customHeight="1" s="21">
      <c r="A142" s="26" t="inlineStr">
        <is>
          <t>Aarden Air Service Llc</t>
        </is>
      </c>
      <c r="B142" s="26" t="inlineStr">
        <is>
          <t>Marysville</t>
        </is>
      </c>
      <c r="C142" s="26" t="inlineStr">
        <is>
          <t>8665599174</t>
        </is>
      </c>
      <c r="D142" s="26" t="inlineStr">
        <is>
          <t>2008-05-16</t>
        </is>
      </c>
      <c r="E142" s="26" t="n">
        <v>18.1</v>
      </c>
      <c r="F142" s="26" t="n"/>
      <c r="G142" s="26" t="inlineStr">
        <is>
          <t>Watch - logged</t>
        </is>
      </c>
      <c r="H142" s="26" t="n"/>
      <c r="I142" s="20" t="n">
        <v>2</v>
      </c>
    </row>
    <row r="143" ht="15" customHeight="1" s="21">
      <c r="A143" s="26" t="inlineStr">
        <is>
          <t>Halo Heating &amp; Air Inc</t>
        </is>
      </c>
      <c r="B143" s="26" t="inlineStr">
        <is>
          <t>Spokane</t>
        </is>
      </c>
      <c r="C143" s="26" t="inlineStr">
        <is>
          <t>5094351170</t>
        </is>
      </c>
      <c r="D143" s="26" t="inlineStr">
        <is>
          <t>2008-08-20</t>
        </is>
      </c>
      <c r="E143" s="26" t="n">
        <v>17.9</v>
      </c>
      <c r="F143" s="26" t="n"/>
      <c r="G143" s="26" t="inlineStr">
        <is>
          <t>Watch - logged (PASF)</t>
        </is>
      </c>
      <c r="H143" s="26" t="n"/>
      <c r="I143" s="20" t="n">
        <v>2</v>
      </c>
    </row>
    <row r="144" ht="15" customHeight="1" s="21">
      <c r="A144" s="26" t="inlineStr">
        <is>
          <t>Jim'S A Thru Z Rfrg &amp; Htg</t>
        </is>
      </c>
      <c r="B144" s="26" t="inlineStr">
        <is>
          <t>Walla Walla</t>
        </is>
      </c>
      <c r="C144" s="26" t="inlineStr">
        <is>
          <t>5095208392</t>
        </is>
      </c>
      <c r="D144" s="26" t="inlineStr">
        <is>
          <t>2009-03-05</t>
        </is>
      </c>
      <c r="E144" s="26" t="n">
        <v>17.3</v>
      </c>
      <c r="F144" s="26" t="n"/>
      <c r="G144" s="26" t="inlineStr">
        <is>
          <t>Hot - logged</t>
        </is>
      </c>
      <c r="H144" s="26" t="n"/>
      <c r="I144" s="20" t="n">
        <v>2</v>
      </c>
    </row>
    <row r="145" ht="15" customHeight="1" s="21">
      <c r="A145" s="26" t="inlineStr">
        <is>
          <t>Mountainside Radiant Heating</t>
        </is>
      </c>
      <c r="B145" s="26" t="inlineStr">
        <is>
          <t>Enumclaw</t>
        </is>
      </c>
      <c r="C145" s="26" t="inlineStr">
        <is>
          <t>2537407887</t>
        </is>
      </c>
      <c r="D145" s="26" t="inlineStr">
        <is>
          <t>2009-04-13</t>
        </is>
      </c>
      <c r="E145" s="26" t="n">
        <v>17.2</v>
      </c>
      <c r="F145" s="26" t="n"/>
      <c r="G145" s="26" t="inlineStr">
        <is>
          <t>Watch - logged (rebrand)</t>
        </is>
      </c>
      <c r="H145" s="26" t="n"/>
      <c r="I145" s="20" t="n">
        <v>2</v>
      </c>
    </row>
    <row r="146" ht="15" customHeight="1" s="21">
      <c r="A146" s="26" t="inlineStr">
        <is>
          <t>West Mechanical Inc</t>
        </is>
      </c>
      <c r="B146" s="26" t="inlineStr">
        <is>
          <t>Bellingham</t>
        </is>
      </c>
      <c r="C146" s="26" t="inlineStr">
        <is>
          <t>3607347599</t>
        </is>
      </c>
      <c r="D146" s="26" t="inlineStr">
        <is>
          <t>2009-09-16</t>
        </is>
      </c>
      <c r="E146" s="26" t="n">
        <v>16.8</v>
      </c>
      <c r="F146" s="26" t="inlineStr">
        <is>
          <t>Yes</t>
        </is>
      </c>
      <c r="G146" s="26" t="n"/>
      <c r="H146" s="26" t="n"/>
      <c r="I146" s="20" t="n">
        <v>2</v>
      </c>
    </row>
    <row r="147" ht="15" customHeight="1" s="21">
      <c r="A147" s="26" t="inlineStr">
        <is>
          <t>A &amp; D Mechanical</t>
        </is>
      </c>
      <c r="B147" s="26" t="inlineStr">
        <is>
          <t>Marysville</t>
        </is>
      </c>
      <c r="C147" s="26" t="inlineStr">
        <is>
          <t>4259235923</t>
        </is>
      </c>
      <c r="D147" s="26" t="inlineStr">
        <is>
          <t>2010-02-04</t>
        </is>
      </c>
      <c r="E147" s="26" t="n">
        <v>16.4</v>
      </c>
      <c r="F147" s="26" t="inlineStr">
        <is>
          <t>Yes</t>
        </is>
      </c>
      <c r="G147" s="26" t="n"/>
      <c r="H147" s="26" t="n"/>
      <c r="I147" s="20" t="n">
        <v>2</v>
      </c>
    </row>
    <row r="148" ht="15" customHeight="1" s="21">
      <c r="A148" s="26" t="inlineStr">
        <is>
          <t>Heat Me Cool Llc</t>
        </is>
      </c>
      <c r="B148" s="26" t="inlineStr">
        <is>
          <t>Wenatchee</t>
        </is>
      </c>
      <c r="C148" s="26" t="inlineStr">
        <is>
          <t>5096798047</t>
        </is>
      </c>
      <c r="D148" s="26" t="inlineStr">
        <is>
          <t>2010-03-22</t>
        </is>
      </c>
      <c r="E148" s="26" t="n">
        <v>16.3</v>
      </c>
      <c r="F148" s="26" t="n"/>
      <c r="G148" s="26" t="inlineStr">
        <is>
          <t>Hot - logged</t>
        </is>
      </c>
      <c r="H148" s="26" t="n"/>
      <c r="I148" s="20" t="n">
        <v>2</v>
      </c>
    </row>
    <row r="149" ht="15" customHeight="1" s="21">
      <c r="A149" s="26" t="inlineStr">
        <is>
          <t>Quality Comfort Htg &amp; Air Cond</t>
        </is>
      </c>
      <c r="B149" s="26" t="inlineStr">
        <is>
          <t>Yakima</t>
        </is>
      </c>
      <c r="C149" s="26" t="inlineStr">
        <is>
          <t>5099494085</t>
        </is>
      </c>
      <c r="D149" s="26" t="inlineStr">
        <is>
          <t>2010-05-13</t>
        </is>
      </c>
      <c r="E149" s="26" t="n">
        <v>16.1</v>
      </c>
      <c r="F149" s="26" t="n"/>
      <c r="G149" s="26" t="inlineStr">
        <is>
          <t>Hot - logged</t>
        </is>
      </c>
      <c r="H149" s="26" t="n"/>
      <c r="I149" s="20" t="n">
        <v>2</v>
      </c>
    </row>
    <row r="150" ht="15" customHeight="1" s="21">
      <c r="A150" s="26" t="inlineStr">
        <is>
          <t>Advanced Comfort Systems Inc</t>
        </is>
      </c>
      <c r="B150" s="26" t="inlineStr">
        <is>
          <t>Moses Lake</t>
        </is>
      </c>
      <c r="C150" s="26" t="inlineStr">
        <is>
          <t>5097640341</t>
        </is>
      </c>
      <c r="D150" s="26" t="inlineStr">
        <is>
          <t>2010-06-28</t>
        </is>
      </c>
      <c r="E150" s="26" t="n">
        <v>16</v>
      </c>
      <c r="F150" s="26" t="n"/>
      <c r="G150" s="26" t="inlineStr">
        <is>
          <t>Watch - logged</t>
        </is>
      </c>
      <c r="H150" s="26" t="n"/>
      <c r="I150" s="20" t="n">
        <v>2</v>
      </c>
    </row>
    <row r="151" ht="15" customHeight="1" s="21">
      <c r="A151" s="26" t="inlineStr">
        <is>
          <t>Harbor Refrigeration</t>
        </is>
      </c>
      <c r="B151" s="26" t="inlineStr">
        <is>
          <t>Aberdeen</t>
        </is>
      </c>
      <c r="C151" s="26" t="inlineStr">
        <is>
          <t>3606482020</t>
        </is>
      </c>
      <c r="D151" s="26" t="inlineStr">
        <is>
          <t>2010-07-02</t>
        </is>
      </c>
      <c r="E151" s="26" t="n">
        <v>16</v>
      </c>
      <c r="F151" s="26" t="n"/>
      <c r="G151" s="26" t="inlineStr">
        <is>
          <t>Skip - logged (closed)</t>
        </is>
      </c>
      <c r="H151" s="26" t="n"/>
      <c r="I151" s="20" t="n">
        <v>2</v>
      </c>
    </row>
    <row r="152" ht="15" customHeight="1" s="21">
      <c r="A152" s="26" t="inlineStr">
        <is>
          <t>Total Quality Air Llc</t>
        </is>
      </c>
      <c r="B152" s="26" t="inlineStr">
        <is>
          <t>Pasco</t>
        </is>
      </c>
      <c r="C152" s="26" t="inlineStr">
        <is>
          <t>5092051592</t>
        </is>
      </c>
      <c r="D152" s="26" t="inlineStr">
        <is>
          <t>2010-11-02</t>
        </is>
      </c>
      <c r="E152" s="26" t="n">
        <v>15.7</v>
      </c>
      <c r="F152" s="26" t="n"/>
      <c r="G152" s="26" t="inlineStr">
        <is>
          <t>Imported (legacy)</t>
        </is>
      </c>
      <c r="H152" s="26" t="n"/>
      <c r="I152" s="20" t="n">
        <v>2</v>
      </c>
    </row>
    <row r="153" ht="15" customHeight="1" s="21">
      <c r="A153" s="26" t="inlineStr">
        <is>
          <t>Dave'S Htg And A/C Inc</t>
        </is>
      </c>
      <c r="B153" s="26" t="inlineStr">
        <is>
          <t>Selah</t>
        </is>
      </c>
      <c r="C153" s="26" t="inlineStr">
        <is>
          <t>5096978557</t>
        </is>
      </c>
      <c r="D153" s="26" t="inlineStr">
        <is>
          <t>2010-11-10</t>
        </is>
      </c>
      <c r="E153" s="26" t="n">
        <v>15.6</v>
      </c>
      <c r="F153" s="26" t="n"/>
      <c r="G153" s="26" t="inlineStr">
        <is>
          <t>Hot - logged</t>
        </is>
      </c>
      <c r="H153" s="26" t="n"/>
      <c r="I153" s="20" t="n">
        <v>2</v>
      </c>
    </row>
    <row r="154" ht="15" customHeight="1" s="21">
      <c r="A154" s="26" t="inlineStr">
        <is>
          <t>Hagen Industrial Refrig Llc</t>
        </is>
      </c>
      <c r="B154" s="26" t="inlineStr">
        <is>
          <t>Buckley</t>
        </is>
      </c>
      <c r="C154" s="26" t="inlineStr">
        <is>
          <t>2067906111</t>
        </is>
      </c>
      <c r="D154" s="26" t="inlineStr">
        <is>
          <t>2011-01-14</t>
        </is>
      </c>
      <c r="E154" s="26" t="n">
        <v>15.5</v>
      </c>
      <c r="F154" s="26" t="n"/>
      <c r="G154" s="26" t="inlineStr">
        <is>
          <t>Skip - logged (name pre-filter)</t>
        </is>
      </c>
      <c r="H154" s="26" t="n"/>
      <c r="I154" s="20" t="n">
        <v>2</v>
      </c>
    </row>
    <row r="155" ht="15" customHeight="1" s="21">
      <c r="A155" s="26" t="inlineStr">
        <is>
          <t>Eco-Tech Mechanical Llc</t>
        </is>
      </c>
      <c r="B155" s="26" t="inlineStr">
        <is>
          <t>Snohomish</t>
        </is>
      </c>
      <c r="C155" s="26" t="inlineStr">
        <is>
          <t>4256148909</t>
        </is>
      </c>
      <c r="D155" s="26" t="inlineStr">
        <is>
          <t>2011-01-21</t>
        </is>
      </c>
      <c r="E155" s="26" t="n">
        <v>15.4</v>
      </c>
      <c r="F155" s="26" t="n"/>
      <c r="G155" s="26" t="inlineStr">
        <is>
          <t>Hot - logged</t>
        </is>
      </c>
      <c r="H155" s="26" t="n"/>
      <c r="I155" s="20" t="n">
        <v>2</v>
      </c>
    </row>
    <row r="156" ht="15" customHeight="1" s="21">
      <c r="A156" s="26" t="inlineStr">
        <is>
          <t>Sure Temp Mechanical Llc</t>
        </is>
      </c>
      <c r="B156" s="26" t="inlineStr">
        <is>
          <t>Walla Walla</t>
        </is>
      </c>
      <c r="C156" s="26" t="inlineStr">
        <is>
          <t>5095220089</t>
        </is>
      </c>
      <c r="D156" s="26" t="inlineStr">
        <is>
          <t>2011-04-12</t>
        </is>
      </c>
      <c r="E156" s="26" t="n">
        <v>15.2</v>
      </c>
      <c r="F156" s="26" t="n"/>
      <c r="G156" s="26" t="inlineStr">
        <is>
          <t>Hot - logged</t>
        </is>
      </c>
      <c r="H156" s="26" t="n"/>
      <c r="I156" s="20" t="n">
        <v>2</v>
      </c>
    </row>
    <row r="157" ht="15" customHeight="1" s="21">
      <c r="A157" s="26" t="inlineStr">
        <is>
          <t>B &amp; C Comfort Llc</t>
        </is>
      </c>
      <c r="B157" s="26" t="inlineStr">
        <is>
          <t>Monroe</t>
        </is>
      </c>
      <c r="C157" s="26" t="inlineStr">
        <is>
          <t>4254024456</t>
        </is>
      </c>
      <c r="D157" s="26" t="inlineStr">
        <is>
          <t>2011-04-15</t>
        </is>
      </c>
      <c r="E157" s="26" t="n">
        <v>15.2</v>
      </c>
      <c r="F157" s="26" t="n"/>
      <c r="G157" s="26" t="inlineStr">
        <is>
          <t>Skip - logged</t>
        </is>
      </c>
      <c r="H157" s="26" t="n"/>
      <c r="I157" s="20" t="n">
        <v>2</v>
      </c>
    </row>
    <row r="158" ht="15" customHeight="1" s="21">
      <c r="A158" s="26" t="inlineStr">
        <is>
          <t>Integrity Three Htng &amp; A/C Llc</t>
        </is>
      </c>
      <c r="B158" s="26" t="inlineStr">
        <is>
          <t>Kennewick</t>
        </is>
      </c>
      <c r="C158" s="26" t="inlineStr">
        <is>
          <t>5093805474</t>
        </is>
      </c>
      <c r="D158" s="26" t="inlineStr">
        <is>
          <t>2011-05-31</t>
        </is>
      </c>
      <c r="E158" s="26" t="n">
        <v>15.1</v>
      </c>
      <c r="F158" s="26" t="n"/>
      <c r="G158" s="26" t="inlineStr">
        <is>
          <t>Warm - logged</t>
        </is>
      </c>
      <c r="H158" s="26" t="n"/>
      <c r="I158" s="20" t="n">
        <v>2</v>
      </c>
    </row>
    <row r="159" ht="15" customHeight="1" s="21">
      <c r="A159" s="26" t="inlineStr">
        <is>
          <t>Precise Heating &amp; Cooling Llc</t>
        </is>
      </c>
      <c r="B159" s="26" t="inlineStr">
        <is>
          <t>Monroe</t>
        </is>
      </c>
      <c r="C159" s="26" t="inlineStr">
        <is>
          <t>2068612525</t>
        </is>
      </c>
      <c r="D159" s="26" t="inlineStr">
        <is>
          <t>2011-06-29</t>
        </is>
      </c>
      <c r="E159" s="26" t="n">
        <v>15</v>
      </c>
      <c r="F159" s="26" t="n"/>
      <c r="G159" s="26" t="inlineStr">
        <is>
          <t>Skip - logged</t>
        </is>
      </c>
      <c r="H159" s="26" t="n"/>
      <c r="I159" s="20" t="n">
        <v>2</v>
      </c>
    </row>
    <row r="160" ht="15" customHeight="1" s="21">
      <c r="A160" s="26" t="inlineStr">
        <is>
          <t>Pacific Air Control Inc</t>
        </is>
      </c>
      <c r="B160" s="26" t="inlineStr">
        <is>
          <t>Bothell</t>
        </is>
      </c>
      <c r="C160" s="26" t="inlineStr">
        <is>
          <t>2066826393</t>
        </is>
      </c>
      <c r="D160" s="26" t="inlineStr">
        <is>
          <t>1977-10-28</t>
        </is>
      </c>
      <c r="E160" s="26" t="n">
        <v>48.7</v>
      </c>
      <c r="F160" s="26" t="n"/>
      <c r="G160" s="26" t="inlineStr">
        <is>
          <t>Skip - logged</t>
        </is>
      </c>
      <c r="H160" s="26" t="n"/>
      <c r="I160" s="20" t="n">
        <v>3</v>
      </c>
    </row>
    <row r="161" ht="15" customHeight="1" s="21">
      <c r="A161" s="26" t="inlineStr">
        <is>
          <t>Narrows Heating/Air Cndtng In</t>
        </is>
      </c>
      <c r="B161" s="26" t="inlineStr">
        <is>
          <t>Tacoma</t>
        </is>
      </c>
      <c r="C161" s="26" t="inlineStr">
        <is>
          <t>2536277543</t>
        </is>
      </c>
      <c r="D161" s="26" t="inlineStr">
        <is>
          <t>1979-04-23</t>
        </is>
      </c>
      <c r="E161" s="26" t="n">
        <v>47.2</v>
      </c>
      <c r="F161" s="26" t="n"/>
      <c r="G161" s="26" t="inlineStr">
        <is>
          <t>Skip - logged</t>
        </is>
      </c>
      <c r="H161" s="26" t="n"/>
      <c r="I161" s="20" t="n">
        <v>3</v>
      </c>
    </row>
    <row r="162" ht="15" customHeight="1" s="21">
      <c r="A162" s="26" t="inlineStr">
        <is>
          <t>House Of Heat Inc</t>
        </is>
      </c>
      <c r="B162" s="26" t="inlineStr">
        <is>
          <t>Bonney Lake</t>
        </is>
      </c>
      <c r="C162" s="26" t="inlineStr">
        <is>
          <t>2538629699</t>
        </is>
      </c>
      <c r="D162" s="26" t="inlineStr">
        <is>
          <t>1981-01-06</t>
        </is>
      </c>
      <c r="E162" s="26" t="n">
        <v>45.5</v>
      </c>
      <c r="F162" s="26" t="n"/>
      <c r="G162" s="26" t="inlineStr">
        <is>
          <t>Hot - logged</t>
        </is>
      </c>
      <c r="H162" s="26" t="n"/>
      <c r="I162" s="20" t="n">
        <v>3</v>
      </c>
    </row>
    <row r="163" ht="15" customHeight="1" s="21">
      <c r="A163" s="26" t="inlineStr">
        <is>
          <t>Valley Furnace Inc</t>
        </is>
      </c>
      <c r="B163" s="26" t="inlineStr">
        <is>
          <t>Puyallup</t>
        </is>
      </c>
      <c r="C163" s="26" t="inlineStr">
        <is>
          <t>2538483517</t>
        </is>
      </c>
      <c r="D163" s="26" t="inlineStr">
        <is>
          <t>1984-12-26</t>
        </is>
      </c>
      <c r="E163" s="26" t="n">
        <v>41.5</v>
      </c>
      <c r="F163" s="26" t="n"/>
      <c r="G163" s="26" t="inlineStr">
        <is>
          <t>Skip - logged</t>
        </is>
      </c>
      <c r="H163" s="26" t="n"/>
      <c r="I163" s="20" t="n">
        <v>3</v>
      </c>
    </row>
    <row r="164" ht="15" customHeight="1" s="21">
      <c r="A164" s="26" t="inlineStr">
        <is>
          <t>P P S Heating &amp; A/C Inc</t>
        </is>
      </c>
      <c r="B164" s="26" t="inlineStr">
        <is>
          <t>Issaquah</t>
        </is>
      </c>
      <c r="C164" s="26" t="inlineStr">
        <is>
          <t>4257472841</t>
        </is>
      </c>
      <c r="D164" s="26" t="inlineStr">
        <is>
          <t>1987-03-01</t>
        </is>
      </c>
      <c r="E164" s="26" t="n">
        <v>39.3</v>
      </c>
      <c r="F164" s="26" t="n"/>
      <c r="G164" s="26" t="inlineStr">
        <is>
          <t>Hot - logged</t>
        </is>
      </c>
      <c r="H164" s="26" t="n"/>
      <c r="I164" s="20" t="n">
        <v>3</v>
      </c>
    </row>
    <row r="165" ht="15" customHeight="1" s="21">
      <c r="A165" s="26" t="inlineStr">
        <is>
          <t>Universal Mech Service Co Inc</t>
        </is>
      </c>
      <c r="B165" s="26" t="inlineStr">
        <is>
          <t>Redmond</t>
        </is>
      </c>
      <c r="C165" s="26" t="inlineStr">
        <is>
          <t>4258859100</t>
        </is>
      </c>
      <c r="D165" s="26" t="inlineStr">
        <is>
          <t>1987-04-06</t>
        </is>
      </c>
      <c r="E165" s="26" t="n">
        <v>39.2</v>
      </c>
      <c r="F165" s="26" t="n"/>
      <c r="G165" s="26" t="inlineStr">
        <is>
          <t>Skip - logged</t>
        </is>
      </c>
      <c r="H165" s="26" t="n"/>
      <c r="I165" s="20" t="n">
        <v>3</v>
      </c>
    </row>
    <row r="166" ht="15" customHeight="1" s="21">
      <c r="A166" s="26" t="inlineStr">
        <is>
          <t>Advanced Energy Savers Inc</t>
        </is>
      </c>
      <c r="B166" s="26" t="inlineStr">
        <is>
          <t>Seattle</t>
        </is>
      </c>
      <c r="C166" s="26" t="inlineStr">
        <is>
          <t>2062417930</t>
        </is>
      </c>
      <c r="D166" s="26" t="inlineStr">
        <is>
          <t>1990-05-29</t>
        </is>
      </c>
      <c r="E166" s="26" t="n">
        <v>36.1</v>
      </c>
      <c r="F166" s="26" t="n"/>
      <c r="G166" s="26" t="inlineStr">
        <is>
          <t>Skip - logged</t>
        </is>
      </c>
      <c r="H166" s="26" t="n"/>
      <c r="I166" s="20" t="n">
        <v>3</v>
      </c>
    </row>
    <row r="167" ht="15" customHeight="1" s="21">
      <c r="A167" s="26" t="inlineStr">
        <is>
          <t>Ambient Control Co Inc</t>
        </is>
      </c>
      <c r="B167" s="26" t="inlineStr">
        <is>
          <t>Auburn</t>
        </is>
      </c>
      <c r="C167" s="26" t="inlineStr">
        <is>
          <t>2538769933</t>
        </is>
      </c>
      <c r="D167" s="26" t="inlineStr">
        <is>
          <t>1990-10-16</t>
        </is>
      </c>
      <c r="E167" s="26" t="n">
        <v>35.7</v>
      </c>
      <c r="F167" s="26" t="n"/>
      <c r="G167" s="26" t="inlineStr">
        <is>
          <t>Skip - logged</t>
        </is>
      </c>
      <c r="H167" s="26" t="n"/>
      <c r="I167" s="20" t="n">
        <v>3</v>
      </c>
    </row>
    <row r="168" ht="15" customHeight="1" s="21">
      <c r="A168" s="26" t="inlineStr">
        <is>
          <t>C J'S Quality Air Systems Inc</t>
        </is>
      </c>
      <c r="B168" s="26" t="inlineStr">
        <is>
          <t>Port Orchard</t>
        </is>
      </c>
      <c r="C168" s="26" t="inlineStr">
        <is>
          <t>2538575220</t>
        </is>
      </c>
      <c r="D168" s="26" t="inlineStr">
        <is>
          <t>1993-11-03</t>
        </is>
      </c>
      <c r="E168" s="26" t="n">
        <v>32.7</v>
      </c>
      <c r="F168" s="26" t="n"/>
      <c r="G168" s="26" t="inlineStr">
        <is>
          <t>Watch - logged</t>
        </is>
      </c>
      <c r="H168" s="26" t="n"/>
      <c r="I168" s="20" t="n">
        <v>3</v>
      </c>
    </row>
    <row r="169" ht="15" customHeight="1" s="21">
      <c r="A169" s="26" t="inlineStr">
        <is>
          <t>Ballard Natural Gas Srvc Inc</t>
        </is>
      </c>
      <c r="B169" s="26" t="inlineStr">
        <is>
          <t>Lynnwood</t>
        </is>
      </c>
      <c r="C169" s="26" t="inlineStr">
        <is>
          <t>2067848101</t>
        </is>
      </c>
      <c r="D169" s="26" t="inlineStr">
        <is>
          <t>1994-11-04</t>
        </is>
      </c>
      <c r="E169" s="26" t="n">
        <v>31.7</v>
      </c>
      <c r="F169" s="26" t="n"/>
      <c r="G169" s="26" t="inlineStr">
        <is>
          <t>Skip - logged</t>
        </is>
      </c>
      <c r="H169" s="26" t="n"/>
      <c r="I169" s="20" t="n">
        <v>3</v>
      </c>
    </row>
    <row r="170" ht="15" customHeight="1" s="21">
      <c r="A170" s="26" t="inlineStr">
        <is>
          <t>Custom Design Mechanical Inc</t>
        </is>
      </c>
      <c r="B170" s="26" t="inlineStr">
        <is>
          <t>Bothell</t>
        </is>
      </c>
      <c r="C170" s="26" t="inlineStr">
        <is>
          <t>2068194408</t>
        </is>
      </c>
      <c r="D170" s="26" t="inlineStr">
        <is>
          <t>1994-11-20</t>
        </is>
      </c>
      <c r="E170" s="26" t="n">
        <v>31.6</v>
      </c>
      <c r="F170" s="26" t="n"/>
      <c r="G170" s="26" t="inlineStr">
        <is>
          <t>Hot - logged</t>
        </is>
      </c>
      <c r="H170" s="26" t="n"/>
      <c r="I170" s="20" t="n">
        <v>3</v>
      </c>
    </row>
    <row r="171" ht="15" customHeight="1" s="21">
      <c r="A171" s="26" t="inlineStr">
        <is>
          <t>Air Masters Inc</t>
        </is>
      </c>
      <c r="B171" s="26" t="inlineStr">
        <is>
          <t>Port Orchard</t>
        </is>
      </c>
      <c r="C171" s="26" t="inlineStr">
        <is>
          <t>3608952527</t>
        </is>
      </c>
      <c r="D171" s="26" t="inlineStr">
        <is>
          <t>1996-09-18</t>
        </is>
      </c>
      <c r="E171" s="26" t="n">
        <v>29.8</v>
      </c>
      <c r="F171" s="26" t="inlineStr">
        <is>
          <t>Yes</t>
        </is>
      </c>
      <c r="G171" s="26" t="n"/>
      <c r="H171" s="26" t="n"/>
      <c r="I171" s="20" t="n">
        <v>3</v>
      </c>
    </row>
    <row r="172" ht="15" customHeight="1" s="21">
      <c r="A172" s="26" t="inlineStr">
        <is>
          <t>Bassett Home Heating Inc</t>
        </is>
      </c>
      <c r="B172" s="26" t="inlineStr">
        <is>
          <t>Woodinville</t>
        </is>
      </c>
      <c r="C172" s="26" t="inlineStr">
        <is>
          <t>4253981666</t>
        </is>
      </c>
      <c r="D172" s="26" t="inlineStr">
        <is>
          <t>1996-12-10</t>
        </is>
      </c>
      <c r="E172" s="26" t="n">
        <v>29.6</v>
      </c>
      <c r="F172" s="26" t="n"/>
      <c r="G172" s="26" t="inlineStr">
        <is>
          <t>Watch - logged</t>
        </is>
      </c>
      <c r="H172" s="26" t="n"/>
      <c r="I172" s="20" t="n">
        <v>3</v>
      </c>
    </row>
    <row r="173" ht="15" customHeight="1" s="21">
      <c r="A173" s="26" t="inlineStr">
        <is>
          <t>Pacific Mechanical Systems Inc</t>
        </is>
      </c>
      <c r="B173" s="26" t="inlineStr">
        <is>
          <t>Lynnwood</t>
        </is>
      </c>
      <c r="C173" s="26" t="inlineStr">
        <is>
          <t>4257712495</t>
        </is>
      </c>
      <c r="D173" s="26" t="inlineStr">
        <is>
          <t>1997-01-27</t>
        </is>
      </c>
      <c r="E173" s="26" t="n">
        <v>29.4</v>
      </c>
      <c r="F173" s="26" t="n"/>
      <c r="G173" s="26" t="inlineStr">
        <is>
          <t>Skip - logged</t>
        </is>
      </c>
      <c r="H173" s="26" t="n"/>
      <c r="I173" s="20" t="n">
        <v>3</v>
      </c>
    </row>
    <row r="174" ht="15" customHeight="1" s="21">
      <c r="A174" s="26" t="inlineStr">
        <is>
          <t>Atlas Heating Inc</t>
        </is>
      </c>
      <c r="B174" s="26" t="inlineStr">
        <is>
          <t>Kent</t>
        </is>
      </c>
      <c r="C174" s="26" t="inlineStr">
        <is>
          <t>2538542404</t>
        </is>
      </c>
      <c r="D174" s="26" t="inlineStr">
        <is>
          <t>1998-02-02</t>
        </is>
      </c>
      <c r="E174" s="26" t="n">
        <v>28.4</v>
      </c>
      <c r="F174" s="26" t="n"/>
      <c r="G174" s="26" t="inlineStr">
        <is>
          <t>Watch - logged</t>
        </is>
      </c>
      <c r="H174" s="26" t="n"/>
      <c r="I174" s="20" t="n">
        <v>3</v>
      </c>
    </row>
    <row r="175" ht="15" customHeight="1" s="21">
      <c r="A175" s="26" t="inlineStr">
        <is>
          <t>Perfect Climate Inc</t>
        </is>
      </c>
      <c r="B175" s="26" t="inlineStr">
        <is>
          <t>Redmond</t>
        </is>
      </c>
      <c r="C175" s="26" t="inlineStr">
        <is>
          <t>2069777353</t>
        </is>
      </c>
      <c r="D175" s="26" t="inlineStr">
        <is>
          <t>1998-03-25</t>
        </is>
      </c>
      <c r="E175" s="26" t="n">
        <v>28.3</v>
      </c>
      <c r="F175" s="26" t="n"/>
      <c r="G175" s="26" t="inlineStr">
        <is>
          <t>Hot - logged</t>
        </is>
      </c>
      <c r="H175" s="26" t="n"/>
      <c r="I175" s="20" t="n">
        <v>3</v>
      </c>
    </row>
    <row r="176" ht="15" customHeight="1" s="21">
      <c r="A176" s="26" t="inlineStr">
        <is>
          <t>Ronald D Hinze Enterprises Inc</t>
        </is>
      </c>
      <c r="B176" s="26" t="inlineStr">
        <is>
          <t>Spanaway</t>
        </is>
      </c>
      <c r="C176" s="26" t="inlineStr">
        <is>
          <t>2538479095</t>
        </is>
      </c>
      <c r="D176" s="26" t="inlineStr">
        <is>
          <t>1999-02-09</t>
        </is>
      </c>
      <c r="E176" s="26" t="n">
        <v>27.4</v>
      </c>
      <c r="F176" s="26" t="n"/>
      <c r="G176" s="26" t="inlineStr">
        <is>
          <t>Hot - logged</t>
        </is>
      </c>
      <c r="H176" s="26" t="n"/>
      <c r="I176" s="20" t="n">
        <v>3</v>
      </c>
    </row>
    <row r="177" ht="15" customHeight="1" s="21">
      <c r="A177" s="26" t="inlineStr">
        <is>
          <t>Matuska Heating Services Inc</t>
        </is>
      </c>
      <c r="B177" s="26" t="inlineStr">
        <is>
          <t>Edmonds</t>
        </is>
      </c>
      <c r="C177" s="26" t="inlineStr">
        <is>
          <t>4257764867</t>
        </is>
      </c>
      <c r="D177" s="26" t="inlineStr">
        <is>
          <t>1999-05-12</t>
        </is>
      </c>
      <c r="E177" s="26" t="n">
        <v>27.1</v>
      </c>
      <c r="F177" s="26" t="n"/>
      <c r="G177" s="26" t="inlineStr">
        <is>
          <t>Skip - logged</t>
        </is>
      </c>
      <c r="H177" s="26" t="n"/>
      <c r="I177" s="20" t="n">
        <v>3</v>
      </c>
    </row>
    <row r="178" ht="15" customHeight="1" s="21">
      <c r="A178" s="26" t="inlineStr">
        <is>
          <t>Northwest Comfort Systems Inc</t>
        </is>
      </c>
      <c r="B178" s="26" t="inlineStr">
        <is>
          <t>Auburn</t>
        </is>
      </c>
      <c r="C178" s="26" t="inlineStr">
        <is>
          <t>2537355236</t>
        </is>
      </c>
      <c r="D178" s="26" t="inlineStr">
        <is>
          <t>1999-05-12</t>
        </is>
      </c>
      <c r="E178" s="26" t="n">
        <v>27.1</v>
      </c>
      <c r="F178" s="26" t="n"/>
      <c r="G178" s="26" t="inlineStr">
        <is>
          <t>Skip - logged</t>
        </is>
      </c>
      <c r="H178" s="26" t="n"/>
      <c r="I178" s="20" t="n">
        <v>3</v>
      </c>
    </row>
    <row r="179" ht="15" customHeight="1" s="21">
      <c r="A179" s="26" t="inlineStr">
        <is>
          <t>Sound Oil Co</t>
        </is>
      </c>
      <c r="B179" s="26" t="inlineStr">
        <is>
          <t>Seattle</t>
        </is>
      </c>
      <c r="C179" s="26" t="inlineStr">
        <is>
          <t>2067256300</t>
        </is>
      </c>
      <c r="D179" s="26" t="inlineStr">
        <is>
          <t>1999-11-18</t>
        </is>
      </c>
      <c r="E179" s="26" t="n">
        <v>26.6</v>
      </c>
      <c r="F179" s="26" t="n"/>
      <c r="G179" s="26" t="inlineStr">
        <is>
          <t>Skip - logged</t>
        </is>
      </c>
      <c r="H179" s="26" t="n"/>
      <c r="I179" s="20" t="n">
        <v>3</v>
      </c>
    </row>
    <row r="180" ht="15" customHeight="1" s="21">
      <c r="A180" s="26" t="inlineStr">
        <is>
          <t>Absolute Gas Services</t>
        </is>
      </c>
      <c r="B180" s="26" t="inlineStr">
        <is>
          <t>Mill Creek</t>
        </is>
      </c>
      <c r="C180" s="26" t="inlineStr">
        <is>
          <t>4257433747</t>
        </is>
      </c>
      <c r="D180" s="26" t="inlineStr">
        <is>
          <t>2000-01-31</t>
        </is>
      </c>
      <c r="E180" s="26" t="n">
        <v>26.4</v>
      </c>
      <c r="F180" s="26" t="n"/>
      <c r="G180" s="26" t="inlineStr">
        <is>
          <t>Hot - logged</t>
        </is>
      </c>
      <c r="H180" s="26" t="n"/>
      <c r="I180" s="20" t="n">
        <v>3</v>
      </c>
    </row>
    <row r="181" ht="15" customHeight="1" s="21">
      <c r="A181" s="26" t="inlineStr">
        <is>
          <t>K &amp; D Mechanical Inc</t>
        </is>
      </c>
      <c r="B181" s="26" t="inlineStr">
        <is>
          <t>Federal Way</t>
        </is>
      </c>
      <c r="C181" s="26" t="inlineStr">
        <is>
          <t>2539458204</t>
        </is>
      </c>
      <c r="D181" s="26" t="inlineStr">
        <is>
          <t>2000-02-11</t>
        </is>
      </c>
      <c r="E181" s="26" t="n">
        <v>26.4</v>
      </c>
      <c r="F181" s="26" t="n"/>
      <c r="G181" s="26" t="inlineStr">
        <is>
          <t>Skip - logged</t>
        </is>
      </c>
      <c r="H181" s="26" t="n"/>
      <c r="I181" s="20" t="n">
        <v>3</v>
      </c>
    </row>
    <row r="182" ht="15" customHeight="1" s="21">
      <c r="A182" s="26" t="inlineStr">
        <is>
          <t>G B Systems Inc</t>
        </is>
      </c>
      <c r="B182" s="26" t="inlineStr">
        <is>
          <t>Kenmore</t>
        </is>
      </c>
      <c r="C182" s="26" t="inlineStr">
        <is>
          <t>4254820584</t>
        </is>
      </c>
      <c r="D182" s="26" t="inlineStr">
        <is>
          <t>2000-02-14</t>
        </is>
      </c>
      <c r="E182" s="26" t="n">
        <v>26.4</v>
      </c>
      <c r="F182" s="26" t="n"/>
      <c r="G182" s="26" t="inlineStr">
        <is>
          <t>Hot - logged</t>
        </is>
      </c>
      <c r="H182" s="26" t="n"/>
      <c r="I182" s="20" t="n">
        <v>3</v>
      </c>
    </row>
    <row r="183" ht="15" customHeight="1" s="21">
      <c r="A183" s="26" t="inlineStr">
        <is>
          <t>Glendale Heating &amp; A/C</t>
        </is>
      </c>
      <c r="B183" s="26" t="inlineStr">
        <is>
          <t>Seattle</t>
        </is>
      </c>
      <c r="C183" s="26" t="inlineStr">
        <is>
          <t>2062437700</t>
        </is>
      </c>
      <c r="D183" s="26" t="inlineStr">
        <is>
          <t>2000-02-14</t>
        </is>
      </c>
      <c r="E183" s="26" t="n">
        <v>26.4</v>
      </c>
      <c r="F183" s="26" t="n"/>
      <c r="G183" s="26" t="inlineStr">
        <is>
          <t>Skip - logged</t>
        </is>
      </c>
      <c r="H183" s="26" t="n"/>
      <c r="I183" s="20" t="n">
        <v>3</v>
      </c>
    </row>
    <row r="184" ht="15" customHeight="1" s="21">
      <c r="A184" s="26" t="inlineStr">
        <is>
          <t>Nw Hvac Service Inc</t>
        </is>
      </c>
      <c r="B184" s="26" t="inlineStr">
        <is>
          <t>Vancouver</t>
        </is>
      </c>
      <c r="C184" s="26" t="inlineStr">
        <is>
          <t>3605769679</t>
        </is>
      </c>
      <c r="D184" s="26" t="inlineStr">
        <is>
          <t>2000-02-22</t>
        </is>
      </c>
      <c r="E184" s="26" t="n">
        <v>26.4</v>
      </c>
      <c r="F184" s="26" t="n"/>
      <c r="G184" s="26" t="inlineStr">
        <is>
          <t>Skip - logged</t>
        </is>
      </c>
      <c r="H184" s="26" t="n"/>
      <c r="I184" s="20" t="n">
        <v>3</v>
      </c>
    </row>
    <row r="185" ht="15" customHeight="1" s="21">
      <c r="A185" s="26" t="inlineStr">
        <is>
          <t>Five Star Mechanical</t>
        </is>
      </c>
      <c r="B185" s="26" t="inlineStr">
        <is>
          <t>Lakewood</t>
        </is>
      </c>
      <c r="C185" s="26" t="inlineStr">
        <is>
          <t>2538528284</t>
        </is>
      </c>
      <c r="D185" s="26" t="inlineStr">
        <is>
          <t>2000-02-23</t>
        </is>
      </c>
      <c r="E185" s="26" t="n">
        <v>26.4</v>
      </c>
      <c r="F185" s="26" t="n"/>
      <c r="G185" s="26" t="inlineStr">
        <is>
          <t>Imported (legacy)</t>
        </is>
      </c>
      <c r="H185" s="26" t="n"/>
      <c r="I185" s="20" t="n">
        <v>3</v>
      </c>
    </row>
    <row r="186" ht="15" customHeight="1" s="21">
      <c r="A186" s="26" t="inlineStr">
        <is>
          <t>City Sheet Metal</t>
        </is>
      </c>
      <c r="B186" s="26" t="inlineStr">
        <is>
          <t>Auburn</t>
        </is>
      </c>
      <c r="C186" s="26" t="inlineStr">
        <is>
          <t>2538522174</t>
        </is>
      </c>
      <c r="D186" s="26" t="inlineStr">
        <is>
          <t>2000-02-24</t>
        </is>
      </c>
      <c r="E186" s="26" t="n">
        <v>26.4</v>
      </c>
      <c r="F186" s="26" t="n"/>
      <c r="G186" s="26" t="inlineStr">
        <is>
          <t>Hot - logged</t>
        </is>
      </c>
      <c r="H186" s="26" t="n"/>
      <c r="I186" s="20" t="n">
        <v>3</v>
      </c>
    </row>
    <row r="187" ht="15" customHeight="1" s="21">
      <c r="A187" s="26" t="inlineStr">
        <is>
          <t>Pro-Staff Mechanical Inc</t>
        </is>
      </c>
      <c r="B187" s="26" t="inlineStr">
        <is>
          <t>Seattle</t>
        </is>
      </c>
      <c r="C187" s="26" t="inlineStr">
        <is>
          <t>2063610071</t>
        </is>
      </c>
      <c r="D187" s="26" t="inlineStr">
        <is>
          <t>2000-02-28</t>
        </is>
      </c>
      <c r="E187" s="26" t="n">
        <v>26.3</v>
      </c>
      <c r="F187" s="26" t="n"/>
      <c r="G187" s="26" t="inlineStr">
        <is>
          <t>Skip - logged</t>
        </is>
      </c>
      <c r="H187" s="26" t="n"/>
      <c r="I187" s="20" t="n">
        <v>3</v>
      </c>
    </row>
    <row r="188" ht="15" customHeight="1" s="21">
      <c r="A188" s="26" t="inlineStr">
        <is>
          <t>Advantage Heat Cool Plumb Inc</t>
        </is>
      </c>
      <c r="B188" s="26" t="inlineStr">
        <is>
          <t>Vancouver</t>
        </is>
      </c>
      <c r="C188" s="26" t="inlineStr">
        <is>
          <t>3606935220</t>
        </is>
      </c>
      <c r="D188" s="26" t="inlineStr">
        <is>
          <t>2000-03-01</t>
        </is>
      </c>
      <c r="E188" s="26" t="n">
        <v>26.3</v>
      </c>
      <c r="F188" s="26" t="n"/>
      <c r="G188" s="26" t="inlineStr">
        <is>
          <t>Skip - logged</t>
        </is>
      </c>
      <c r="H188" s="26" t="n"/>
      <c r="I188" s="20" t="n">
        <v>3</v>
      </c>
    </row>
    <row r="189" ht="15" customHeight="1" s="21">
      <c r="A189" s="26" t="inlineStr">
        <is>
          <t>Day &amp; Nite Plumbing &amp; Htg Inc</t>
        </is>
      </c>
      <c r="B189" s="26" t="inlineStr">
        <is>
          <t>Lynnwood</t>
        </is>
      </c>
      <c r="C189" s="26" t="inlineStr">
        <is>
          <t>4257756464</t>
        </is>
      </c>
      <c r="D189" s="26" t="inlineStr">
        <is>
          <t>2000-03-01</t>
        </is>
      </c>
      <c r="E189" s="26" t="n">
        <v>26.3</v>
      </c>
      <c r="F189" s="26" t="n"/>
      <c r="G189" s="26" t="inlineStr">
        <is>
          <t>Skip - logged</t>
        </is>
      </c>
      <c r="H189" s="26" t="n"/>
      <c r="I189" s="20" t="n">
        <v>3</v>
      </c>
    </row>
    <row r="190" ht="15" customHeight="1" s="21">
      <c r="A190" s="26" t="inlineStr">
        <is>
          <t>Janes Company Inc The</t>
        </is>
      </c>
      <c r="B190" s="26" t="inlineStr">
        <is>
          <t>Mukilteo</t>
        </is>
      </c>
      <c r="C190" s="26" t="inlineStr">
        <is>
          <t>4252670202</t>
        </is>
      </c>
      <c r="D190" s="26" t="inlineStr">
        <is>
          <t>2000-03-01</t>
        </is>
      </c>
      <c r="E190" s="26" t="n">
        <v>26.3</v>
      </c>
      <c r="F190" s="26" t="n"/>
      <c r="G190" s="26" t="inlineStr">
        <is>
          <t>Skip - logged</t>
        </is>
      </c>
      <c r="H190" s="26" t="n"/>
      <c r="I190" s="20" t="n">
        <v>3</v>
      </c>
    </row>
    <row r="191" ht="15" customHeight="1" s="21">
      <c r="A191" s="26" t="inlineStr">
        <is>
          <t>Indoor Comfort Systems Inc</t>
        </is>
      </c>
      <c r="B191" s="26" t="inlineStr">
        <is>
          <t>Tacoma</t>
        </is>
      </c>
      <c r="C191" s="26" t="inlineStr">
        <is>
          <t>2535391424</t>
        </is>
      </c>
      <c r="D191" s="26" t="inlineStr">
        <is>
          <t>2000-03-02</t>
        </is>
      </c>
      <c r="E191" s="26" t="n">
        <v>26.3</v>
      </c>
      <c r="F191" s="26" t="n"/>
      <c r="G191" s="26" t="inlineStr">
        <is>
          <t>Skip - logged (PASF)</t>
        </is>
      </c>
      <c r="H191" s="26" t="n"/>
      <c r="I191" s="20" t="n">
        <v>3</v>
      </c>
    </row>
    <row r="192" ht="15" customHeight="1" s="21">
      <c r="A192" s="26" t="inlineStr">
        <is>
          <t>All Seasons Htg &amp; Cooling Inc</t>
        </is>
      </c>
      <c r="B192" s="26" t="inlineStr">
        <is>
          <t>Vancouver</t>
        </is>
      </c>
      <c r="C192" s="26" t="inlineStr">
        <is>
          <t>3609447611</t>
        </is>
      </c>
      <c r="D192" s="26" t="inlineStr">
        <is>
          <t>2000-03-03</t>
        </is>
      </c>
      <c r="E192" s="26" t="n">
        <v>26.3</v>
      </c>
      <c r="F192" s="26" t="n"/>
      <c r="G192" s="26" t="inlineStr">
        <is>
          <t>Skip - logged (PASF)</t>
        </is>
      </c>
      <c r="H192" s="26" t="n"/>
      <c r="I192" s="20" t="n">
        <v>3</v>
      </c>
    </row>
    <row r="193" ht="15" customHeight="1" s="21">
      <c r="A193" s="26" t="inlineStr">
        <is>
          <t>Blairco Inc</t>
        </is>
      </c>
      <c r="B193" s="26" t="inlineStr">
        <is>
          <t>Vancouver</t>
        </is>
      </c>
      <c r="C193" s="26" t="inlineStr">
        <is>
          <t>3606951476</t>
        </is>
      </c>
      <c r="D193" s="26" t="inlineStr">
        <is>
          <t>2000-03-03</t>
        </is>
      </c>
      <c r="E193" s="26" t="n">
        <v>26.3</v>
      </c>
      <c r="F193" s="26" t="n"/>
      <c r="G193" s="26" t="inlineStr">
        <is>
          <t>Skip - logged</t>
        </is>
      </c>
      <c r="H193" s="26" t="n"/>
      <c r="I193" s="20" t="n">
        <v>3</v>
      </c>
    </row>
    <row r="194" ht="15" customHeight="1" s="21">
      <c r="A194" s="26" t="inlineStr">
        <is>
          <t>Total Energy Concepts Inc</t>
        </is>
      </c>
      <c r="B194" s="26" t="inlineStr">
        <is>
          <t>Vancouver</t>
        </is>
      </c>
      <c r="C194" s="26" t="inlineStr">
        <is>
          <t>3605717002</t>
        </is>
      </c>
      <c r="D194" s="26" t="inlineStr">
        <is>
          <t>2000-03-03</t>
        </is>
      </c>
      <c r="E194" s="26" t="n">
        <v>26.3</v>
      </c>
      <c r="F194" s="26" t="n"/>
      <c r="G194" s="26" t="inlineStr">
        <is>
          <t>Watch - logged</t>
        </is>
      </c>
      <c r="H194" s="26" t="n"/>
      <c r="I194" s="20" t="n">
        <v>3</v>
      </c>
    </row>
    <row r="195" ht="15" customHeight="1" s="21">
      <c r="A195" s="26" t="inlineStr">
        <is>
          <t>Dana'S Heating Inc</t>
        </is>
      </c>
      <c r="B195" s="26" t="inlineStr">
        <is>
          <t>Bremerton</t>
        </is>
      </c>
      <c r="C195" s="26" t="inlineStr">
        <is>
          <t>3608767670</t>
        </is>
      </c>
      <c r="D195" s="26" t="inlineStr">
        <is>
          <t>2000-03-09</t>
        </is>
      </c>
      <c r="E195" s="26" t="n">
        <v>26.3</v>
      </c>
      <c r="F195" s="26" t="inlineStr">
        <is>
          <t>Yes</t>
        </is>
      </c>
      <c r="G195" s="26" t="n"/>
      <c r="H195" s="26" t="n"/>
      <c r="I195" s="20" t="n">
        <v>3</v>
      </c>
    </row>
    <row r="196" ht="15" customHeight="1" s="21">
      <c r="A196" s="26" t="inlineStr">
        <is>
          <t>All Ways Air Control Inc</t>
        </is>
      </c>
      <c r="B196" s="26" t="inlineStr">
        <is>
          <t>Tacoma</t>
        </is>
      </c>
      <c r="C196" s="26" t="inlineStr">
        <is>
          <t>2533837718</t>
        </is>
      </c>
      <c r="D196" s="26" t="inlineStr">
        <is>
          <t>2000-04-18</t>
        </is>
      </c>
      <c r="E196" s="26" t="n">
        <v>26.2</v>
      </c>
      <c r="F196" s="26" t="inlineStr">
        <is>
          <t>Yes</t>
        </is>
      </c>
      <c r="G196" s="26" t="n"/>
      <c r="H196" s="26" t="n"/>
      <c r="I196" s="20" t="n">
        <v>3</v>
      </c>
    </row>
    <row r="197" ht="15" customHeight="1" s="21">
      <c r="A197" s="26" t="inlineStr">
        <is>
          <t>Wilson'S Air Technologies Inc</t>
        </is>
      </c>
      <c r="B197" s="26" t="inlineStr">
        <is>
          <t>Tacoma</t>
        </is>
      </c>
      <c r="C197" s="26" t="inlineStr">
        <is>
          <t>2534749928</t>
        </is>
      </c>
      <c r="D197" s="26" t="inlineStr">
        <is>
          <t>2000-05-24</t>
        </is>
      </c>
      <c r="E197" s="26" t="n">
        <v>26.1</v>
      </c>
      <c r="F197" s="26" t="n"/>
      <c r="G197" s="26" t="inlineStr">
        <is>
          <t>Hot - logged</t>
        </is>
      </c>
      <c r="H197" s="26" t="n"/>
      <c r="I197" s="20" t="n">
        <v>3</v>
      </c>
    </row>
    <row r="198" ht="15" customHeight="1" s="21">
      <c r="A198" s="26" t="inlineStr">
        <is>
          <t>Home Energy Group Inc</t>
        </is>
      </c>
      <c r="B198" s="26" t="inlineStr">
        <is>
          <t>Vancouver</t>
        </is>
      </c>
      <c r="C198" s="26" t="inlineStr">
        <is>
          <t>3609448616</t>
        </is>
      </c>
      <c r="D198" s="26" t="inlineStr">
        <is>
          <t>2001-04-17</t>
        </is>
      </c>
      <c r="E198" s="26" t="n">
        <v>25.2</v>
      </c>
      <c r="F198" s="26" t="n"/>
      <c r="G198" s="26" t="inlineStr">
        <is>
          <t>Skip - logged</t>
        </is>
      </c>
      <c r="H198" s="26" t="n"/>
      <c r="I198" s="20" t="n">
        <v>3</v>
      </c>
    </row>
    <row r="199" ht="15" customHeight="1" s="21">
      <c r="A199" s="26" t="inlineStr">
        <is>
          <t>Precision Air Services Inc</t>
        </is>
      </c>
      <c r="B199" s="26" t="inlineStr">
        <is>
          <t>Covington</t>
        </is>
      </c>
      <c r="C199" s="26" t="inlineStr">
        <is>
          <t>2536318826</t>
        </is>
      </c>
      <c r="D199" s="26" t="inlineStr">
        <is>
          <t>2001-06-08</t>
        </is>
      </c>
      <c r="E199" s="26" t="n">
        <v>25.1</v>
      </c>
      <c r="F199" s="26" t="n"/>
      <c r="G199" s="26" t="inlineStr">
        <is>
          <t>Skip - logged</t>
        </is>
      </c>
      <c r="H199" s="26" t="n"/>
      <c r="I199" s="20" t="n">
        <v>3</v>
      </c>
    </row>
    <row r="200" ht="15" customHeight="1" s="21">
      <c r="A200" s="26" t="inlineStr">
        <is>
          <t>Air Treatment</t>
        </is>
      </c>
      <c r="B200" s="26" t="inlineStr">
        <is>
          <t>Edmonds</t>
        </is>
      </c>
      <c r="C200" s="26" t="inlineStr">
        <is>
          <t>2066603588</t>
        </is>
      </c>
      <c r="D200" s="26" t="inlineStr">
        <is>
          <t>2001-11-28</t>
        </is>
      </c>
      <c r="E200" s="26" t="n">
        <v>24.6</v>
      </c>
      <c r="F200" s="26" t="n"/>
      <c r="G200" s="26" t="inlineStr">
        <is>
          <t>Hot - logged</t>
        </is>
      </c>
      <c r="H200" s="26" t="n"/>
      <c r="I200" s="20" t="n">
        <v>3</v>
      </c>
    </row>
    <row r="201" ht="15" customHeight="1" s="21">
      <c r="A201" s="26" t="inlineStr">
        <is>
          <t>Metro Air Inc</t>
        </is>
      </c>
      <c r="B201" s="26" t="inlineStr">
        <is>
          <t>Kirkland</t>
        </is>
      </c>
      <c r="C201" s="26" t="inlineStr">
        <is>
          <t>4256587664</t>
        </is>
      </c>
      <c r="D201" s="26" t="inlineStr">
        <is>
          <t>2001-12-03</t>
        </is>
      </c>
      <c r="E201" s="26" t="n">
        <v>24.6</v>
      </c>
      <c r="F201" s="26" t="n"/>
      <c r="G201" s="26" t="inlineStr">
        <is>
          <t>Hot - logged</t>
        </is>
      </c>
      <c r="H201" s="26" t="n"/>
      <c r="I201" s="20" t="n">
        <v>3</v>
      </c>
    </row>
    <row r="202" ht="15" customHeight="1" s="21">
      <c r="A202" s="26" t="inlineStr">
        <is>
          <t>Crystal Air Systems</t>
        </is>
      </c>
      <c r="B202" s="26" t="inlineStr">
        <is>
          <t>Olympia</t>
        </is>
      </c>
      <c r="C202" s="26" t="inlineStr">
        <is>
          <t>3603573335</t>
        </is>
      </c>
      <c r="D202" s="26" t="inlineStr">
        <is>
          <t>2001-12-28</t>
        </is>
      </c>
      <c r="E202" s="26" t="n">
        <v>24.5</v>
      </c>
      <c r="F202" s="26" t="n"/>
      <c r="G202" s="26" t="inlineStr">
        <is>
          <t>Hot - logged</t>
        </is>
      </c>
      <c r="H202" s="26" t="n"/>
      <c r="I202" s="20" t="n">
        <v>3</v>
      </c>
    </row>
    <row r="203" ht="15" customHeight="1" s="21">
      <c r="A203" s="26" t="inlineStr">
        <is>
          <t>East Hill Heating &amp; Coolng Inc</t>
        </is>
      </c>
      <c r="B203" s="26" t="inlineStr">
        <is>
          <t>Puyallup</t>
        </is>
      </c>
      <c r="C203" s="26" t="inlineStr">
        <is>
          <t>2538412237</t>
        </is>
      </c>
      <c r="D203" s="26" t="inlineStr">
        <is>
          <t>2002-09-16</t>
        </is>
      </c>
      <c r="E203" s="26" t="n">
        <v>23.8</v>
      </c>
      <c r="F203" s="26" t="n"/>
      <c r="G203" s="26" t="inlineStr">
        <is>
          <t>Skip - logged</t>
        </is>
      </c>
      <c r="H203" s="26" t="n"/>
      <c r="I203" s="20" t="n">
        <v>3</v>
      </c>
    </row>
    <row r="204" ht="15" customHeight="1" s="21">
      <c r="A204" s="26" t="inlineStr">
        <is>
          <t>Stend-Air Mechanical Services</t>
        </is>
      </c>
      <c r="B204" s="26" t="inlineStr">
        <is>
          <t>Lake Forest Park</t>
        </is>
      </c>
      <c r="C204" s="26" t="inlineStr">
        <is>
          <t>2063680587</t>
        </is>
      </c>
      <c r="D204" s="26" t="inlineStr">
        <is>
          <t>2002-11-25</t>
        </is>
      </c>
      <c r="E204" s="26" t="n">
        <v>23.6</v>
      </c>
      <c r="F204" s="26" t="n"/>
      <c r="G204" s="26" t="inlineStr">
        <is>
          <t>Hot - logged</t>
        </is>
      </c>
      <c r="H204" s="26" t="n"/>
      <c r="I204" s="20" t="n">
        <v>3</v>
      </c>
    </row>
    <row r="205" ht="15" customHeight="1" s="21">
      <c r="A205" s="26" t="inlineStr">
        <is>
          <t>Poulsbo Heating Company</t>
        </is>
      </c>
      <c r="B205" s="26" t="inlineStr">
        <is>
          <t>Poulsbo</t>
        </is>
      </c>
      <c r="C205" s="26" t="inlineStr">
        <is>
          <t>3607799678</t>
        </is>
      </c>
      <c r="D205" s="26" t="inlineStr">
        <is>
          <t>2002-12-23</t>
        </is>
      </c>
      <c r="E205" s="26" t="n">
        <v>23.5</v>
      </c>
      <c r="F205" s="26" t="inlineStr">
        <is>
          <t>Yes</t>
        </is>
      </c>
      <c r="G205" s="26" t="n"/>
      <c r="H205" s="26" t="n"/>
      <c r="I205" s="20" t="n">
        <v>3</v>
      </c>
    </row>
    <row r="206" ht="15" customHeight="1" s="21">
      <c r="A206" s="26" t="inlineStr">
        <is>
          <t>Automated Bldg Cntrl Spcs Llc</t>
        </is>
      </c>
      <c r="B206" s="26" t="inlineStr">
        <is>
          <t>Redmond</t>
        </is>
      </c>
      <c r="C206" s="26" t="inlineStr">
        <is>
          <t>4258236300</t>
        </is>
      </c>
      <c r="D206" s="26" t="inlineStr">
        <is>
          <t>2003-01-03</t>
        </is>
      </c>
      <c r="E206" s="26" t="n">
        <v>23.5</v>
      </c>
      <c r="F206" s="26" t="n"/>
      <c r="G206" s="26" t="inlineStr">
        <is>
          <t>Skip - logged (name pre-filter)</t>
        </is>
      </c>
      <c r="H206" s="26" t="n"/>
      <c r="I206" s="20" t="n">
        <v>3</v>
      </c>
    </row>
    <row r="207" ht="15" customHeight="1" s="21">
      <c r="A207" s="26" t="inlineStr">
        <is>
          <t>Trs Mechanical Inc</t>
        </is>
      </c>
      <c r="B207" s="26" t="inlineStr">
        <is>
          <t>Tacoma</t>
        </is>
      </c>
      <c r="C207" s="26" t="inlineStr">
        <is>
          <t>2535390141</t>
        </is>
      </c>
      <c r="D207" s="26" t="inlineStr">
        <is>
          <t>2003-07-09</t>
        </is>
      </c>
      <c r="E207" s="26" t="n">
        <v>23</v>
      </c>
      <c r="F207" s="26" t="n"/>
      <c r="G207" s="26" t="inlineStr">
        <is>
          <t>Watch - logged</t>
        </is>
      </c>
      <c r="H207" s="26" t="n"/>
      <c r="I207" s="20" t="n">
        <v>3</v>
      </c>
    </row>
    <row r="208" ht="15" customHeight="1" s="21">
      <c r="A208" s="26" t="inlineStr">
        <is>
          <t>Alpha Htg &amp; Air Cond Inc</t>
        </is>
      </c>
      <c r="B208" s="26" t="inlineStr">
        <is>
          <t>Bellevue</t>
        </is>
      </c>
      <c r="C208" s="26" t="inlineStr">
        <is>
          <t>4256430368</t>
        </is>
      </c>
      <c r="D208" s="26" t="inlineStr">
        <is>
          <t>2003-10-10</t>
        </is>
      </c>
      <c r="E208" s="26" t="n">
        <v>22.7</v>
      </c>
      <c r="F208" s="26" t="n"/>
      <c r="G208" s="26" t="inlineStr">
        <is>
          <t>Skip - logged</t>
        </is>
      </c>
      <c r="H208" s="26" t="n"/>
      <c r="I208" s="20" t="n">
        <v>3</v>
      </c>
    </row>
    <row r="209" ht="15" customHeight="1" s="21">
      <c r="A209" s="26" t="inlineStr">
        <is>
          <t>Alpha Heating &amp; A/C Inc</t>
        </is>
      </c>
      <c r="B209" s="26" t="inlineStr">
        <is>
          <t>Bellevue</t>
        </is>
      </c>
      <c r="C209" s="26" t="inlineStr">
        <is>
          <t>4254430569</t>
        </is>
      </c>
      <c r="D209" s="26" t="inlineStr">
        <is>
          <t>2003-10-10</t>
        </is>
      </c>
      <c r="E209" s="26" t="n">
        <v>22.7</v>
      </c>
      <c r="F209" s="26" t="n"/>
      <c r="G209" s="26" t="inlineStr">
        <is>
          <t>Skip - logged (dup row)</t>
        </is>
      </c>
      <c r="H209" s="26" t="n"/>
      <c r="I209" s="20" t="n">
        <v>3</v>
      </c>
    </row>
    <row r="210" ht="15" customHeight="1" s="21">
      <c r="A210" s="26" t="inlineStr">
        <is>
          <t>Star Home Heating</t>
        </is>
      </c>
      <c r="B210" s="26" t="inlineStr">
        <is>
          <t>Covington</t>
        </is>
      </c>
      <c r="C210" s="26" t="inlineStr">
        <is>
          <t>2063102111</t>
        </is>
      </c>
      <c r="D210" s="26" t="inlineStr">
        <is>
          <t>2003-11-12</t>
        </is>
      </c>
      <c r="E210" s="26" t="n">
        <v>22.6</v>
      </c>
      <c r="F210" s="26" t="n"/>
      <c r="G210" s="26" t="inlineStr">
        <is>
          <t>Hot - logged</t>
        </is>
      </c>
      <c r="H210" s="26" t="n"/>
      <c r="I210" s="20" t="n">
        <v>3</v>
      </c>
    </row>
    <row r="211" ht="15" customHeight="1" s="21">
      <c r="A211" s="26" t="inlineStr">
        <is>
          <t>Auburn Mechanical Inc</t>
        </is>
      </c>
      <c r="B211" s="26" t="inlineStr">
        <is>
          <t>Auburn</t>
        </is>
      </c>
      <c r="C211" s="26" t="inlineStr">
        <is>
          <t>2538389780</t>
        </is>
      </c>
      <c r="D211" s="26" t="inlineStr">
        <is>
          <t>2004-01-09</t>
        </is>
      </c>
      <c r="E211" s="26" t="n">
        <v>22.5</v>
      </c>
      <c r="F211" s="26" t="n"/>
      <c r="G211" s="26" t="inlineStr">
        <is>
          <t>Skip - logged</t>
        </is>
      </c>
      <c r="H211" s="26" t="n"/>
      <c r="I211" s="20" t="n">
        <v>3</v>
      </c>
    </row>
    <row r="212" ht="15" customHeight="1" s="21">
      <c r="A212" s="26" t="inlineStr">
        <is>
          <t>Mountain Valley Htg &amp; A/C Inc</t>
        </is>
      </c>
      <c r="B212" s="26" t="inlineStr">
        <is>
          <t>Renton</t>
        </is>
      </c>
      <c r="C212" s="26" t="inlineStr">
        <is>
          <t>4252260080</t>
        </is>
      </c>
      <c r="D212" s="26" t="inlineStr">
        <is>
          <t>2004-03-05</t>
        </is>
      </c>
      <c r="E212" s="26" t="n">
        <v>22.3</v>
      </c>
      <c r="F212" s="26" t="n"/>
      <c r="G212" s="26" t="inlineStr">
        <is>
          <t>Skip - logged</t>
        </is>
      </c>
      <c r="H212" s="26" t="n"/>
      <c r="I212" s="20" t="n">
        <v>3</v>
      </c>
    </row>
    <row r="213" ht="15" customHeight="1" s="21">
      <c r="A213" s="26" t="inlineStr">
        <is>
          <t>Pacific One Construction Inc</t>
        </is>
      </c>
      <c r="B213" s="26" t="inlineStr">
        <is>
          <t>Kirkland</t>
        </is>
      </c>
      <c r="C213" s="26" t="inlineStr">
        <is>
          <t>4258690373</t>
        </is>
      </c>
      <c r="D213" s="26" t="inlineStr">
        <is>
          <t>2004-04-08</t>
        </is>
      </c>
      <c r="E213" s="26" t="n">
        <v>22.2</v>
      </c>
      <c r="F213" s="26" t="n"/>
      <c r="G213" s="26" t="inlineStr">
        <is>
          <t>Skip - logged (name pre-filter)</t>
        </is>
      </c>
      <c r="H213" s="26" t="n"/>
      <c r="I213" s="20" t="n">
        <v>3</v>
      </c>
    </row>
    <row r="214" ht="15" customHeight="1" s="21">
      <c r="A214" s="26" t="inlineStr">
        <is>
          <t>Even Flo Heating A/C &amp; Refrige</t>
        </is>
      </c>
      <c r="B214" s="26" t="inlineStr">
        <is>
          <t>Lynnwood</t>
        </is>
      </c>
      <c r="C214" s="26" t="inlineStr">
        <is>
          <t>4253810400</t>
        </is>
      </c>
      <c r="D214" s="26" t="inlineStr">
        <is>
          <t>2004-07-27</t>
        </is>
      </c>
      <c r="E214" s="26" t="n">
        <v>21.9</v>
      </c>
      <c r="F214" s="26" t="n"/>
      <c r="G214" s="26" t="inlineStr">
        <is>
          <t>Skip - logged</t>
        </is>
      </c>
      <c r="H214" s="26" t="n"/>
      <c r="I214" s="20" t="n">
        <v>3</v>
      </c>
    </row>
    <row r="215" ht="15" customHeight="1" s="21">
      <c r="A215" s="26" t="inlineStr">
        <is>
          <t>Dnd Services</t>
        </is>
      </c>
      <c r="B215" s="26" t="inlineStr">
        <is>
          <t>Redmond</t>
        </is>
      </c>
      <c r="C215" s="26" t="inlineStr">
        <is>
          <t>2064997254</t>
        </is>
      </c>
      <c r="D215" s="26" t="inlineStr">
        <is>
          <t>2004-08-17</t>
        </is>
      </c>
      <c r="E215" s="26" t="n">
        <v>21.9</v>
      </c>
      <c r="F215" s="26" t="n"/>
      <c r="G215" s="26" t="inlineStr">
        <is>
          <t>Hot - logged</t>
        </is>
      </c>
      <c r="H215" s="26" t="n"/>
      <c r="I215" s="20" t="n">
        <v>3</v>
      </c>
    </row>
    <row r="216" ht="15" customHeight="1" s="21">
      <c r="A216" s="26" t="inlineStr">
        <is>
          <t>Climate Pro Llc</t>
        </is>
      </c>
      <c r="B216" s="26" t="inlineStr">
        <is>
          <t>Bothell</t>
        </is>
      </c>
      <c r="C216" s="26" t="inlineStr">
        <is>
          <t>4257875804</t>
        </is>
      </c>
      <c r="D216" s="26" t="inlineStr">
        <is>
          <t>2004-12-22</t>
        </is>
      </c>
      <c r="E216" s="26" t="n">
        <v>21.5</v>
      </c>
      <c r="F216" s="26" t="inlineStr">
        <is>
          <t>Yes</t>
        </is>
      </c>
      <c r="G216" s="26" t="n"/>
      <c r="H216" s="26" t="n"/>
      <c r="I216" s="20" t="n">
        <v>3</v>
      </c>
    </row>
    <row r="217" ht="15" customHeight="1" s="21">
      <c r="A217" s="26" t="inlineStr">
        <is>
          <t>Great Sun Corp</t>
        </is>
      </c>
      <c r="B217" s="26" t="inlineStr">
        <is>
          <t>Seattle</t>
        </is>
      </c>
      <c r="C217" s="26" t="inlineStr">
        <is>
          <t>2063298027</t>
        </is>
      </c>
      <c r="D217" s="26" t="inlineStr">
        <is>
          <t>2005-03-21</t>
        </is>
      </c>
      <c r="E217" s="26" t="n">
        <v>21.3</v>
      </c>
      <c r="F217" s="26" t="n"/>
      <c r="G217" s="26" t="inlineStr">
        <is>
          <t>Skip - logged</t>
        </is>
      </c>
      <c r="H217" s="26" t="n"/>
      <c r="I217" s="20" t="n">
        <v>3</v>
      </c>
    </row>
    <row r="218" ht="15" customHeight="1" s="21">
      <c r="A218" s="26" t="inlineStr">
        <is>
          <t>Diamond Construction Srvcs Llc</t>
        </is>
      </c>
      <c r="B218" s="26" t="inlineStr">
        <is>
          <t>Auburn</t>
        </is>
      </c>
      <c r="C218" s="26" t="inlineStr">
        <is>
          <t>2537973857</t>
        </is>
      </c>
      <c r="D218" s="26" t="inlineStr">
        <is>
          <t>2005-04-22</t>
        </is>
      </c>
      <c r="E218" s="26" t="n">
        <v>21.2</v>
      </c>
      <c r="F218" s="26" t="n"/>
      <c r="G218" s="26" t="inlineStr">
        <is>
          <t>Skip - logged (name pre-filter)</t>
        </is>
      </c>
      <c r="H218" s="26" t="n"/>
      <c r="I218" s="20" t="n">
        <v>3</v>
      </c>
    </row>
    <row r="219" ht="15" customHeight="1" s="21">
      <c r="A219" s="26" t="inlineStr">
        <is>
          <t>Tri-Tech Heating Inc</t>
        </is>
      </c>
      <c r="B219" s="26" t="inlineStr">
        <is>
          <t>Vancouver</t>
        </is>
      </c>
      <c r="C219" s="26" t="inlineStr">
        <is>
          <t>3608912002</t>
        </is>
      </c>
      <c r="D219" s="26" t="inlineStr">
        <is>
          <t>2005-06-13</t>
        </is>
      </c>
      <c r="E219" s="26" t="n">
        <v>21.1</v>
      </c>
      <c r="F219" s="26" t="n"/>
      <c r="G219" s="26" t="inlineStr">
        <is>
          <t>Imported (legacy)</t>
        </is>
      </c>
      <c r="H219" s="26" t="n"/>
      <c r="I219" s="20" t="n">
        <v>3</v>
      </c>
    </row>
    <row r="220" ht="15" customHeight="1" s="21">
      <c r="A220" s="26" t="inlineStr">
        <is>
          <t>D C Htg &amp; Air Conditioning Inc</t>
        </is>
      </c>
      <c r="B220" s="26" t="inlineStr">
        <is>
          <t>Vancouver</t>
        </is>
      </c>
      <c r="C220" s="26" t="inlineStr">
        <is>
          <t>3607721664</t>
        </is>
      </c>
      <c r="D220" s="26" t="inlineStr">
        <is>
          <t>2005-06-28</t>
        </is>
      </c>
      <c r="E220" s="26" t="n">
        <v>21</v>
      </c>
      <c r="F220" s="26" t="n"/>
      <c r="G220" s="26" t="inlineStr">
        <is>
          <t>Hot - logged</t>
        </is>
      </c>
      <c r="H220" s="26" t="n"/>
      <c r="I220" s="20" t="n">
        <v>3</v>
      </c>
    </row>
    <row r="221" ht="15" customHeight="1" s="21">
      <c r="A221" s="26" t="inlineStr">
        <is>
          <t>South Sound Hydronics Llc</t>
        </is>
      </c>
      <c r="B221" s="26" t="inlineStr">
        <is>
          <t>Tacoma</t>
        </is>
      </c>
      <c r="C221" s="26" t="inlineStr">
        <is>
          <t>2532921004</t>
        </is>
      </c>
      <c r="D221" s="26" t="inlineStr">
        <is>
          <t>2005-07-19</t>
        </is>
      </c>
      <c r="E221" s="26" t="n">
        <v>21</v>
      </c>
      <c r="F221" s="26" t="n"/>
      <c r="G221" s="26" t="inlineStr">
        <is>
          <t>Watch - logged (dual identity)</t>
        </is>
      </c>
      <c r="H221" s="26" t="n"/>
      <c r="I221" s="20" t="n">
        <v>3</v>
      </c>
    </row>
    <row r="222" ht="15" customHeight="1" s="21">
      <c r="A222" s="26" t="inlineStr">
        <is>
          <t>Impact Heating &amp; Cooling Llc</t>
        </is>
      </c>
      <c r="B222" s="26" t="inlineStr">
        <is>
          <t>Vancouver</t>
        </is>
      </c>
      <c r="C222" s="26" t="inlineStr">
        <is>
          <t>3609313878</t>
        </is>
      </c>
      <c r="D222" s="26" t="inlineStr">
        <is>
          <t>2005-07-22</t>
        </is>
      </c>
      <c r="E222" s="26" t="n">
        <v>20.9</v>
      </c>
      <c r="F222" s="26" t="n"/>
      <c r="G222" s="26" t="inlineStr">
        <is>
          <t>Hot - logged</t>
        </is>
      </c>
      <c r="H222" s="26" t="n"/>
      <c r="I222" s="20" t="n">
        <v>3</v>
      </c>
    </row>
    <row r="223" ht="15" customHeight="1" s="21">
      <c r="A223" s="26" t="inlineStr">
        <is>
          <t>Kohler Heating &amp; A/C Inc</t>
        </is>
      </c>
      <c r="B223" s="26" t="inlineStr">
        <is>
          <t>Gig Harbor</t>
        </is>
      </c>
      <c r="C223" s="26" t="inlineStr">
        <is>
          <t>2538588922</t>
        </is>
      </c>
      <c r="D223" s="26" t="inlineStr">
        <is>
          <t>2005-09-21</t>
        </is>
      </c>
      <c r="E223" s="26" t="n">
        <v>20.8</v>
      </c>
      <c r="F223" s="26" t="n"/>
      <c r="G223" s="26" t="inlineStr">
        <is>
          <t>Imported (legacy)</t>
        </is>
      </c>
      <c r="H223" s="26" t="n"/>
      <c r="I223" s="20" t="n">
        <v>3</v>
      </c>
    </row>
    <row r="224" ht="15" customHeight="1" s="21">
      <c r="A224" s="26" t="inlineStr">
        <is>
          <t>Waterways Inc</t>
        </is>
      </c>
      <c r="B224" s="26" t="inlineStr">
        <is>
          <t>Battle Ground</t>
        </is>
      </c>
      <c r="C224" s="26" t="inlineStr">
        <is>
          <t>3606871304</t>
        </is>
      </c>
      <c r="D224" s="26" t="inlineStr">
        <is>
          <t>2005-10-17</t>
        </is>
      </c>
      <c r="E224" s="26" t="n">
        <v>20.7</v>
      </c>
      <c r="F224" s="26" t="n"/>
      <c r="G224" s="26" t="inlineStr">
        <is>
          <t>Skip - logged</t>
        </is>
      </c>
      <c r="H224" s="26" t="n"/>
      <c r="I224" s="20" t="n">
        <v>3</v>
      </c>
    </row>
    <row r="225" ht="15" customHeight="1" s="21">
      <c r="A225" s="26" t="inlineStr">
        <is>
          <t>C F M Heating &amp; Cooling Inc</t>
        </is>
      </c>
      <c r="B225" s="26" t="inlineStr">
        <is>
          <t>Kirkland</t>
        </is>
      </c>
      <c r="C225" s="26" t="inlineStr">
        <is>
          <t>4258211293</t>
        </is>
      </c>
      <c r="D225" s="26" t="inlineStr">
        <is>
          <t>2005-11-30</t>
        </is>
      </c>
      <c r="E225" s="26" t="n">
        <v>20.6</v>
      </c>
      <c r="F225" s="26" t="n"/>
      <c r="G225" s="26" t="inlineStr">
        <is>
          <t>Skip - logged</t>
        </is>
      </c>
      <c r="H225" s="26" t="n"/>
      <c r="I225" s="20" t="n">
        <v>3</v>
      </c>
    </row>
    <row r="226" ht="15" customHeight="1" s="21">
      <c r="A226" s="26" t="inlineStr">
        <is>
          <t>Mainstream Mechanical Corp</t>
        </is>
      </c>
      <c r="B226" s="26" t="inlineStr">
        <is>
          <t>Edmonds</t>
        </is>
      </c>
      <c r="C226" s="26" t="inlineStr">
        <is>
          <t>4257784315</t>
        </is>
      </c>
      <c r="D226" s="26" t="inlineStr">
        <is>
          <t>2006-04-06</t>
        </is>
      </c>
      <c r="E226" s="26" t="n">
        <v>20.2</v>
      </c>
      <c r="F226" s="26" t="n"/>
      <c r="G226" s="26" t="inlineStr">
        <is>
          <t>Skip - logged</t>
        </is>
      </c>
      <c r="H226" s="26" t="n"/>
      <c r="I226" s="20" t="n">
        <v>3</v>
      </c>
    </row>
    <row r="227" ht="15" customHeight="1" s="21">
      <c r="A227" s="26" t="inlineStr">
        <is>
          <t>Polar Refrigeration Inc</t>
        </is>
      </c>
      <c r="B227" s="26" t="inlineStr">
        <is>
          <t>Vancouver</t>
        </is>
      </c>
      <c r="C227" s="26" t="inlineStr">
        <is>
          <t>3608916783</t>
        </is>
      </c>
      <c r="D227" s="26" t="inlineStr">
        <is>
          <t>2006-05-03</t>
        </is>
      </c>
      <c r="E227" s="26" t="n">
        <v>20.2</v>
      </c>
      <c r="F227" s="26" t="n"/>
      <c r="G227" s="26" t="inlineStr">
        <is>
          <t>Skip - logged</t>
        </is>
      </c>
      <c r="H227" s="26" t="n"/>
      <c r="I227" s="20" t="n">
        <v>3</v>
      </c>
    </row>
    <row r="228" ht="15" customHeight="1" s="21">
      <c r="A228" s="26" t="inlineStr">
        <is>
          <t>Air Exchange Inc</t>
        </is>
      </c>
      <c r="B228" s="26" t="inlineStr">
        <is>
          <t>Vancouver</t>
        </is>
      </c>
      <c r="C228" s="26" t="inlineStr">
        <is>
          <t>3608522940</t>
        </is>
      </c>
      <c r="D228" s="26" t="inlineStr">
        <is>
          <t>2006-08-17</t>
        </is>
      </c>
      <c r="E228" s="26" t="n">
        <v>19.9</v>
      </c>
      <c r="F228" s="26" t="n"/>
      <c r="G228" s="26" t="inlineStr">
        <is>
          <t>Watch - logged (identity check)</t>
        </is>
      </c>
      <c r="H228" s="26" t="n"/>
      <c r="I228" s="20" t="n">
        <v>3</v>
      </c>
    </row>
    <row r="229" ht="15" customHeight="1" s="21">
      <c r="A229" s="26" t="inlineStr">
        <is>
          <t>Jnb Mechanical Inc</t>
        </is>
      </c>
      <c r="B229" s="26" t="inlineStr">
        <is>
          <t>Vancouver</t>
        </is>
      </c>
      <c r="C229" s="26" t="inlineStr">
        <is>
          <t>3609365098</t>
        </is>
      </c>
      <c r="D229" s="26" t="inlineStr">
        <is>
          <t>2006-11-10</t>
        </is>
      </c>
      <c r="E229" s="26" t="n">
        <v>19.6</v>
      </c>
      <c r="F229" s="26" t="n"/>
      <c r="G229" s="26" t="inlineStr">
        <is>
          <t>Skip - logged</t>
        </is>
      </c>
      <c r="H229" s="26" t="n"/>
      <c r="I229" s="20" t="n">
        <v>3</v>
      </c>
    </row>
    <row r="230" ht="15" customHeight="1" s="21">
      <c r="A230" s="26" t="inlineStr">
        <is>
          <t>Patriot Heating &amp; A/C Inc</t>
        </is>
      </c>
      <c r="B230" s="26" t="inlineStr">
        <is>
          <t>Federal Way</t>
        </is>
      </c>
      <c r="C230" s="26" t="inlineStr">
        <is>
          <t>2536310601</t>
        </is>
      </c>
      <c r="D230" s="26" t="inlineStr">
        <is>
          <t>2007-02-15</t>
        </is>
      </c>
      <c r="E230" s="26" t="n">
        <v>19.4</v>
      </c>
      <c r="F230" s="26" t="n"/>
      <c r="G230" s="26" t="inlineStr">
        <is>
          <t>Watch - logged (site check)</t>
        </is>
      </c>
      <c r="H230" s="26" t="n"/>
      <c r="I230" s="20" t="n">
        <v>3</v>
      </c>
    </row>
    <row r="231" ht="15" customHeight="1" s="21">
      <c r="A231" s="26" t="inlineStr">
        <is>
          <t>Pro Heat Llc</t>
        </is>
      </c>
      <c r="B231" s="26" t="inlineStr">
        <is>
          <t>Seattle</t>
        </is>
      </c>
      <c r="C231" s="26" t="inlineStr">
        <is>
          <t>2063568204</t>
        </is>
      </c>
      <c r="D231" s="26" t="inlineStr">
        <is>
          <t>2007-04-09</t>
        </is>
      </c>
      <c r="E231" s="26" t="n">
        <v>19.2</v>
      </c>
      <c r="F231" s="26" t="n"/>
      <c r="G231" s="26" t="inlineStr">
        <is>
          <t>Hot - logged</t>
        </is>
      </c>
      <c r="H231" s="26" t="n"/>
      <c r="I231" s="20" t="n">
        <v>3</v>
      </c>
    </row>
    <row r="232" ht="15" customHeight="1" s="21">
      <c r="A232" s="26" t="inlineStr">
        <is>
          <t>Enviromech</t>
        </is>
      </c>
      <c r="B232" s="26" t="inlineStr">
        <is>
          <t>Burien</t>
        </is>
      </c>
      <c r="C232" s="26" t="inlineStr">
        <is>
          <t>2067621960</t>
        </is>
      </c>
      <c r="D232" s="26" t="inlineStr">
        <is>
          <t>2007-04-13</t>
        </is>
      </c>
      <c r="E232" s="26" t="n">
        <v>19.2</v>
      </c>
      <c r="F232" s="26" t="n"/>
      <c r="G232" s="26" t="inlineStr">
        <is>
          <t>Watch - logged</t>
        </is>
      </c>
      <c r="H232" s="26" t="n"/>
      <c r="I232" s="20" t="n">
        <v>3</v>
      </c>
    </row>
    <row r="233" ht="15" customHeight="1" s="21">
      <c r="A233" s="26" t="inlineStr">
        <is>
          <t>Power Vac Llc</t>
        </is>
      </c>
      <c r="B233" s="26" t="inlineStr">
        <is>
          <t>Vancouver</t>
        </is>
      </c>
      <c r="C233" s="26" t="inlineStr">
        <is>
          <t>3606946284</t>
        </is>
      </c>
      <c r="D233" s="26" t="inlineStr">
        <is>
          <t>2007-04-26</t>
        </is>
      </c>
      <c r="E233" s="26" t="n">
        <v>19.2</v>
      </c>
      <c r="F233" s="26" t="n"/>
      <c r="G233" s="26" t="inlineStr">
        <is>
          <t>Skip - logged (name pre-filter)</t>
        </is>
      </c>
      <c r="H233" s="26" t="n"/>
      <c r="I233" s="20" t="n">
        <v>3</v>
      </c>
    </row>
    <row r="234" ht="15" customHeight="1" s="21">
      <c r="A234" s="26" t="inlineStr">
        <is>
          <t>Hendrickson Hvac Services Inc</t>
        </is>
      </c>
      <c r="B234" s="26" t="inlineStr">
        <is>
          <t>Battle Ground</t>
        </is>
      </c>
      <c r="C234" s="26" t="inlineStr">
        <is>
          <t>3606872034</t>
        </is>
      </c>
      <c r="D234" s="26" t="inlineStr">
        <is>
          <t>2007-09-20</t>
        </is>
      </c>
      <c r="E234" s="26" t="n">
        <v>18.8</v>
      </c>
      <c r="F234" s="26" t="n"/>
      <c r="G234" s="26" t="inlineStr">
        <is>
          <t>Skip - logged</t>
        </is>
      </c>
      <c r="H234" s="26" t="n"/>
      <c r="I234" s="20" t="n">
        <v>3</v>
      </c>
    </row>
    <row r="235" ht="15" customHeight="1" s="21">
      <c r="A235" s="26" t="inlineStr">
        <is>
          <t>Quick Cool</t>
        </is>
      </c>
      <c r="B235" s="26" t="inlineStr">
        <is>
          <t>Battle Ground</t>
        </is>
      </c>
      <c r="C235" s="26" t="inlineStr">
        <is>
          <t>5033677486</t>
        </is>
      </c>
      <c r="D235" s="26" t="inlineStr">
        <is>
          <t>2007-10-19</t>
        </is>
      </c>
      <c r="E235" s="26" t="n">
        <v>18.7</v>
      </c>
      <c r="F235" s="26" t="n"/>
      <c r="G235" s="26" t="inlineStr">
        <is>
          <t>Hot - logged</t>
        </is>
      </c>
      <c r="H235" s="26" t="n"/>
      <c r="I235" s="20" t="n">
        <v>3</v>
      </c>
    </row>
    <row r="236" ht="15" customHeight="1" s="21">
      <c r="A236" s="26" t="inlineStr">
        <is>
          <t>Furnace Doctors Inc</t>
        </is>
      </c>
      <c r="B236" s="26" t="inlineStr">
        <is>
          <t>Renton</t>
        </is>
      </c>
      <c r="C236" s="26" t="inlineStr">
        <is>
          <t>2066225018</t>
        </is>
      </c>
      <c r="D236" s="26" t="inlineStr">
        <is>
          <t>2007-11-13</t>
        </is>
      </c>
      <c r="E236" s="26" t="n">
        <v>18.6</v>
      </c>
      <c r="F236" s="26" t="n"/>
      <c r="G236" s="26" t="inlineStr">
        <is>
          <t>Skip - logged</t>
        </is>
      </c>
      <c r="H236" s="26" t="n"/>
      <c r="I236" s="20" t="n">
        <v>3</v>
      </c>
    </row>
    <row r="237" ht="15" customHeight="1" s="21">
      <c r="A237" s="26" t="inlineStr">
        <is>
          <t>Trane</t>
        </is>
      </c>
      <c r="B237" s="26" t="inlineStr">
        <is>
          <t>Bellevue</t>
        </is>
      </c>
      <c r="C237" s="26" t="inlineStr">
        <is>
          <t>4256434310</t>
        </is>
      </c>
      <c r="D237" s="26" t="inlineStr">
        <is>
          <t>2008-01-04</t>
        </is>
      </c>
      <c r="E237" s="26" t="n">
        <v>18.5</v>
      </c>
      <c r="F237" s="26" t="n"/>
      <c r="G237" s="26" t="inlineStr">
        <is>
          <t>Skip - logged (manufacturer)</t>
        </is>
      </c>
      <c r="H237" s="26" t="n"/>
      <c r="I237" s="20" t="n">
        <v>3</v>
      </c>
    </row>
    <row r="238" ht="15" customHeight="1" s="21">
      <c r="A238" s="26" t="inlineStr">
        <is>
          <t>Service First Heating/Clg Inc</t>
        </is>
      </c>
      <c r="B238" s="26" t="inlineStr">
        <is>
          <t>Vancouver</t>
        </is>
      </c>
      <c r="C238" s="26" t="inlineStr">
        <is>
          <t>3605917274</t>
        </is>
      </c>
      <c r="D238" s="26" t="inlineStr">
        <is>
          <t>2008-04-24</t>
        </is>
      </c>
      <c r="E238" s="26" t="n">
        <v>18.2</v>
      </c>
      <c r="F238" s="26" t="n"/>
      <c r="G238" s="26" t="inlineStr">
        <is>
          <t>Skip - logged</t>
        </is>
      </c>
      <c r="H238" s="26" t="n"/>
      <c r="I238" s="20" t="n">
        <v>3</v>
      </c>
    </row>
    <row r="239" ht="15" customHeight="1" s="21">
      <c r="A239" s="26" t="inlineStr">
        <is>
          <t>Todds Heating And Cooling Llc</t>
        </is>
      </c>
      <c r="B239" s="26" t="inlineStr">
        <is>
          <t>Battle Ground</t>
        </is>
      </c>
      <c r="C239" s="26" t="inlineStr">
        <is>
          <t>3606244881</t>
        </is>
      </c>
      <c r="D239" s="26" t="inlineStr">
        <is>
          <t>2008-05-01</t>
        </is>
      </c>
      <c r="E239" s="26" t="n">
        <v>18.2</v>
      </c>
      <c r="F239" s="26" t="n"/>
      <c r="G239" s="26" t="inlineStr">
        <is>
          <t>Hot - logged</t>
        </is>
      </c>
      <c r="H239" s="26" t="n"/>
      <c r="I239" s="20" t="n">
        <v>3</v>
      </c>
    </row>
    <row r="240" ht="15" customHeight="1" s="21">
      <c r="A240" s="26" t="inlineStr">
        <is>
          <t>Above The Best Inc</t>
        </is>
      </c>
      <c r="B240" s="26" t="inlineStr">
        <is>
          <t>Tacoma</t>
        </is>
      </c>
      <c r="C240" s="26" t="inlineStr">
        <is>
          <t>2535356000</t>
        </is>
      </c>
      <c r="D240" s="26" t="inlineStr">
        <is>
          <t>2008-05-12</t>
        </is>
      </c>
      <c r="E240" s="26" t="n">
        <v>18.1</v>
      </c>
      <c r="F240" s="26" t="n"/>
      <c r="G240" s="26" t="inlineStr">
        <is>
          <t>Imported (legacy)</t>
        </is>
      </c>
      <c r="H240" s="26" t="n"/>
      <c r="I240" s="20" t="n">
        <v>3</v>
      </c>
    </row>
    <row r="241" ht="15" customHeight="1" s="21">
      <c r="A241" s="26" t="inlineStr">
        <is>
          <t>Serenity Air Inc</t>
        </is>
      </c>
      <c r="B241" s="26" t="inlineStr">
        <is>
          <t>Puyallup</t>
        </is>
      </c>
      <c r="C241" s="26" t="inlineStr">
        <is>
          <t>2532555682</t>
        </is>
      </c>
      <c r="D241" s="26" t="inlineStr">
        <is>
          <t>2008-06-26</t>
        </is>
      </c>
      <c r="E241" s="26" t="n">
        <v>18</v>
      </c>
      <c r="F241" s="26" t="inlineStr">
        <is>
          <t>Yes</t>
        </is>
      </c>
      <c r="G241" s="26" t="n"/>
      <c r="H241" s="26" t="n"/>
      <c r="I241" s="20" t="n">
        <v>3</v>
      </c>
    </row>
    <row r="242" ht="15" customHeight="1" s="21">
      <c r="A242" s="26" t="inlineStr">
        <is>
          <t>Total Heating Company Llc</t>
        </is>
      </c>
      <c r="B242" s="26" t="inlineStr">
        <is>
          <t>Graham</t>
        </is>
      </c>
      <c r="C242" s="26" t="inlineStr">
        <is>
          <t>2533804503</t>
        </is>
      </c>
      <c r="D242" s="26" t="inlineStr">
        <is>
          <t>2008-07-30</t>
        </is>
      </c>
      <c r="E242" s="26" t="n">
        <v>17.9</v>
      </c>
      <c r="F242" s="26" t="n"/>
      <c r="G242" s="26" t="inlineStr">
        <is>
          <t>Hot - logged</t>
        </is>
      </c>
      <c r="H242" s="26" t="n"/>
      <c r="I242" s="20" t="n">
        <v>3</v>
      </c>
    </row>
    <row r="243" ht="15" customHeight="1" s="21">
      <c r="A243" s="26" t="inlineStr">
        <is>
          <t>Alex Refrigeration Service</t>
        </is>
      </c>
      <c r="B243" s="26" t="inlineStr">
        <is>
          <t>Kent</t>
        </is>
      </c>
      <c r="C243" s="26" t="inlineStr">
        <is>
          <t>2537400334</t>
        </is>
      </c>
      <c r="D243" s="26" t="inlineStr">
        <is>
          <t>2008-08-19</t>
        </is>
      </c>
      <c r="E243" s="26" t="n">
        <v>17.9</v>
      </c>
      <c r="F243" s="26" t="n"/>
      <c r="G243" s="26" t="inlineStr">
        <is>
          <t>Skip - logged</t>
        </is>
      </c>
      <c r="H243" s="26" t="n"/>
      <c r="I243" s="20" t="n">
        <v>3</v>
      </c>
    </row>
    <row r="244" ht="15" customHeight="1" s="21">
      <c r="A244" s="26" t="inlineStr">
        <is>
          <t>New Castle Mechanical Llc</t>
        </is>
      </c>
      <c r="B244" s="26" t="inlineStr">
        <is>
          <t>Puyallup</t>
        </is>
      </c>
      <c r="C244" s="26" t="inlineStr">
        <is>
          <t>2532564697</t>
        </is>
      </c>
      <c r="D244" s="26" t="inlineStr">
        <is>
          <t>2008-09-04</t>
        </is>
      </c>
      <c r="E244" s="26" t="n">
        <v>17.8</v>
      </c>
      <c r="F244" s="26" t="n"/>
      <c r="G244" s="26" t="inlineStr">
        <is>
          <t>Watch - logged</t>
        </is>
      </c>
      <c r="H244" s="26" t="n"/>
      <c r="I244" s="20" t="n">
        <v>3</v>
      </c>
    </row>
    <row r="245" ht="15" customHeight="1" s="21">
      <c r="A245" s="26" t="inlineStr">
        <is>
          <t>Custom Sheet Metal Inc</t>
        </is>
      </c>
      <c r="B245" s="26" t="inlineStr">
        <is>
          <t>Olympia</t>
        </is>
      </c>
      <c r="C245" s="26" t="inlineStr">
        <is>
          <t>3607545220</t>
        </is>
      </c>
      <c r="D245" s="26" t="inlineStr">
        <is>
          <t>2008-10-09</t>
        </is>
      </c>
      <c r="E245" s="26" t="n">
        <v>17.7</v>
      </c>
      <c r="F245" s="26" t="inlineStr">
        <is>
          <t>Yes</t>
        </is>
      </c>
      <c r="G245" s="26" t="n"/>
      <c r="H245" s="26" t="n"/>
      <c r="I245" s="20" t="n">
        <v>3</v>
      </c>
    </row>
    <row r="246" ht="15" customHeight="1" s="21">
      <c r="A246" s="26" t="inlineStr">
        <is>
          <t>Erickson Refrigeration Llc</t>
        </is>
      </c>
      <c r="B246" s="26" t="inlineStr">
        <is>
          <t>Auburn</t>
        </is>
      </c>
      <c r="C246" s="26" t="inlineStr">
        <is>
          <t>2067894722</t>
        </is>
      </c>
      <c r="D246" s="26" t="inlineStr">
        <is>
          <t>2008-10-21</t>
        </is>
      </c>
      <c r="E246" s="26" t="n">
        <v>17.7</v>
      </c>
      <c r="F246" s="26" t="n"/>
      <c r="G246" s="26" t="inlineStr">
        <is>
          <t>Skip - logged</t>
        </is>
      </c>
      <c r="H246" s="26" t="n"/>
      <c r="I246" s="20" t="n">
        <v>3</v>
      </c>
    </row>
    <row r="247" ht="15" customHeight="1" s="21">
      <c r="A247" s="26" t="inlineStr">
        <is>
          <t>Southern Heat</t>
        </is>
      </c>
      <c r="B247" s="26" t="inlineStr">
        <is>
          <t>Graham</t>
        </is>
      </c>
      <c r="C247" s="26" t="inlineStr">
        <is>
          <t>2533043102</t>
        </is>
      </c>
      <c r="D247" s="26" t="inlineStr">
        <is>
          <t>2009-03-30</t>
        </is>
      </c>
      <c r="E247" s="26" t="n">
        <v>17.3</v>
      </c>
      <c r="F247" s="26" t="n"/>
      <c r="G247" s="26" t="inlineStr">
        <is>
          <t>Hot - logged</t>
        </is>
      </c>
      <c r="H247" s="26" t="n"/>
      <c r="I247" s="20" t="n">
        <v>3</v>
      </c>
    </row>
    <row r="248" ht="15" customHeight="1" s="21">
      <c r="A248" s="26" t="inlineStr">
        <is>
          <t>Independent Heatng&amp;Cooling Llc</t>
        </is>
      </c>
      <c r="B248" s="26" t="inlineStr">
        <is>
          <t>Vancouver</t>
        </is>
      </c>
      <c r="C248" s="26" t="inlineStr">
        <is>
          <t>3606016825</t>
        </is>
      </c>
      <c r="D248" s="26" t="inlineStr">
        <is>
          <t>2009-04-01</t>
        </is>
      </c>
      <c r="E248" s="26" t="n">
        <v>17.3</v>
      </c>
      <c r="F248" s="26" t="n"/>
      <c r="G248" s="26" t="inlineStr">
        <is>
          <t>Hot - logged</t>
        </is>
      </c>
      <c r="H248" s="26" t="n"/>
      <c r="I248" s="20" t="n">
        <v>3</v>
      </c>
    </row>
    <row r="249" ht="15" customHeight="1" s="21">
      <c r="A249" s="26" t="inlineStr">
        <is>
          <t>Energy Technologies Llc</t>
        </is>
      </c>
      <c r="B249" s="26" t="inlineStr">
        <is>
          <t>Seattle</t>
        </is>
      </c>
      <c r="C249" s="26" t="inlineStr">
        <is>
          <t>4258944115</t>
        </is>
      </c>
      <c r="D249" s="26" t="inlineStr">
        <is>
          <t>2009-05-21</t>
        </is>
      </c>
      <c r="E249" s="26" t="n">
        <v>17.1</v>
      </c>
      <c r="F249" s="26" t="n"/>
      <c r="G249" s="26" t="inlineStr">
        <is>
          <t>Skip - logged</t>
        </is>
      </c>
      <c r="H249" s="26" t="n"/>
      <c r="I249" s="20" t="n">
        <v>3</v>
      </c>
    </row>
    <row r="250" ht="15" customHeight="1" s="21">
      <c r="A250" s="26" t="inlineStr">
        <is>
          <t>Air Pro Heating &amp; Cooling Llc</t>
        </is>
      </c>
      <c r="B250" s="26" t="inlineStr">
        <is>
          <t>Vancouver</t>
        </is>
      </c>
      <c r="C250" s="26" t="inlineStr">
        <is>
          <t>5642088010</t>
        </is>
      </c>
      <c r="D250" s="26" t="inlineStr">
        <is>
          <t>2009-06-12</t>
        </is>
      </c>
      <c r="E250" s="26" t="n">
        <v>17.1</v>
      </c>
      <c r="F250" s="26" t="n"/>
      <c r="G250" s="26" t="inlineStr">
        <is>
          <t>Hot - logged</t>
        </is>
      </c>
      <c r="H250" s="26" t="n"/>
      <c r="I250" s="20" t="n">
        <v>3</v>
      </c>
    </row>
    <row r="251" ht="15" customHeight="1" s="21">
      <c r="A251" s="26" t="inlineStr">
        <is>
          <t>Aj Refrigeration And A/C Llc</t>
        </is>
      </c>
      <c r="B251" s="26" t="inlineStr">
        <is>
          <t>Camas</t>
        </is>
      </c>
      <c r="C251" s="26" t="inlineStr">
        <is>
          <t>3609040396</t>
        </is>
      </c>
      <c r="D251" s="26" t="inlineStr">
        <is>
          <t>2009-09-01</t>
        </is>
      </c>
      <c r="E251" s="26" t="n">
        <v>16.8</v>
      </c>
      <c r="F251" s="26" t="n"/>
      <c r="G251" s="26" t="inlineStr">
        <is>
          <t>Hot - logged</t>
        </is>
      </c>
      <c r="H251" s="26" t="n"/>
      <c r="I251" s="20" t="n">
        <v>3</v>
      </c>
    </row>
    <row r="252" ht="15" customHeight="1" s="21">
      <c r="A252" s="26" t="inlineStr">
        <is>
          <t>Aaa Hvac Llc</t>
        </is>
      </c>
      <c r="B252" s="26" t="inlineStr">
        <is>
          <t>Lynnwood</t>
        </is>
      </c>
      <c r="C252" s="26" t="inlineStr">
        <is>
          <t>2063550442</t>
        </is>
      </c>
      <c r="D252" s="26" t="inlineStr">
        <is>
          <t>2009-09-15</t>
        </is>
      </c>
      <c r="E252" s="26" t="n">
        <v>16.8</v>
      </c>
      <c r="F252" s="26" t="n"/>
      <c r="G252" s="26" t="inlineStr">
        <is>
          <t>Skip - logged (Step 20 spam pattern)</t>
        </is>
      </c>
      <c r="H252" s="26" t="n"/>
      <c r="I252" s="20" t="n">
        <v>3</v>
      </c>
    </row>
    <row r="253" ht="15" customHeight="1" s="21">
      <c r="A253" s="26" t="inlineStr">
        <is>
          <t>Uni Refrigeration</t>
        </is>
      </c>
      <c r="B253" s="26" t="inlineStr">
        <is>
          <t>Seattle</t>
        </is>
      </c>
      <c r="C253" s="26" t="inlineStr">
        <is>
          <t>2064063964</t>
        </is>
      </c>
      <c r="D253" s="26" t="inlineStr">
        <is>
          <t>2009-10-01</t>
        </is>
      </c>
      <c r="E253" s="26" t="n">
        <v>16.8</v>
      </c>
      <c r="F253" s="26" t="n"/>
      <c r="G253" s="26" t="inlineStr">
        <is>
          <t>Skip - logged (name judgment)</t>
        </is>
      </c>
      <c r="H253" s="26" t="n"/>
      <c r="I253" s="20" t="n">
        <v>3</v>
      </c>
    </row>
    <row r="254" ht="15" customHeight="1" s="21">
      <c r="A254" s="26" t="inlineStr">
        <is>
          <t>A &amp; M Heating</t>
        </is>
      </c>
      <c r="B254" s="26" t="inlineStr">
        <is>
          <t>Port Orchard</t>
        </is>
      </c>
      <c r="C254" s="26" t="inlineStr">
        <is>
          <t>3608958580</t>
        </is>
      </c>
      <c r="D254" s="26" t="inlineStr">
        <is>
          <t>2009-11-02</t>
        </is>
      </c>
      <c r="E254" s="26" t="n">
        <v>16.7</v>
      </c>
      <c r="F254" s="26" t="inlineStr">
        <is>
          <t>Yes</t>
        </is>
      </c>
      <c r="G254" s="26" t="n"/>
      <c r="H254" s="26" t="n"/>
      <c r="I254" s="20" t="n">
        <v>3</v>
      </c>
    </row>
    <row r="255" ht="15" customHeight="1" s="21">
      <c r="A255" s="26" t="inlineStr">
        <is>
          <t>City Energy Systems</t>
        </is>
      </c>
      <c r="B255" s="26" t="inlineStr">
        <is>
          <t>Auburn</t>
        </is>
      </c>
      <c r="C255" s="26" t="inlineStr">
        <is>
          <t>2538522174</t>
        </is>
      </c>
      <c r="D255" s="26" t="inlineStr">
        <is>
          <t>2009-12-29</t>
        </is>
      </c>
      <c r="E255" s="26" t="n">
        <v>16.5</v>
      </c>
      <c r="F255" s="26" t="n"/>
      <c r="G255" s="26" t="inlineStr">
        <is>
          <t>Skip - logged (PASF)</t>
        </is>
      </c>
      <c r="H255" s="26" t="n"/>
      <c r="I255" s="20" t="n">
        <v>3</v>
      </c>
    </row>
    <row r="256" ht="15" customHeight="1" s="21">
      <c r="A256" s="26" t="inlineStr">
        <is>
          <t>Albatross Hvac Inc</t>
        </is>
      </c>
      <c r="B256" s="26" t="inlineStr">
        <is>
          <t>Battle Ground</t>
        </is>
      </c>
      <c r="C256" s="26" t="inlineStr">
        <is>
          <t>3606878660</t>
        </is>
      </c>
      <c r="D256" s="26" t="inlineStr">
        <is>
          <t>2010-01-01</t>
        </is>
      </c>
      <c r="E256" s="26" t="n">
        <v>16.5</v>
      </c>
      <c r="F256" s="26" t="n"/>
      <c r="G256" s="26" t="inlineStr">
        <is>
          <t>Watch - logged (PASF)</t>
        </is>
      </c>
      <c r="H256" s="26" t="n"/>
      <c r="I256" s="20" t="n">
        <v>3</v>
      </c>
    </row>
    <row r="257" ht="15" customHeight="1" s="21">
      <c r="A257" s="26" t="inlineStr">
        <is>
          <t>Aarden Air Llc</t>
        </is>
      </c>
      <c r="B257" s="26" t="inlineStr">
        <is>
          <t>Lynnwood</t>
        </is>
      </c>
      <c r="C257" s="26" t="inlineStr">
        <is>
          <t>3606684387</t>
        </is>
      </c>
      <c r="D257" s="26" t="inlineStr">
        <is>
          <t>2010-01-11</t>
        </is>
      </c>
      <c r="E257" s="26" t="n">
        <v>16.5</v>
      </c>
      <c r="F257" s="26" t="n"/>
      <c r="G257" s="26" t="inlineStr">
        <is>
          <t>Already logged (dup of Marysville Aarden Watch)</t>
        </is>
      </c>
      <c r="H257" s="26" t="n"/>
      <c r="I257" s="20" t="n">
        <v>3</v>
      </c>
    </row>
    <row r="258" ht="15" customHeight="1" s="21">
      <c r="A258" s="26" t="inlineStr">
        <is>
          <t>Reliable Mechanical Llc</t>
        </is>
      </c>
      <c r="B258" s="26" t="inlineStr">
        <is>
          <t>Vancouver</t>
        </is>
      </c>
      <c r="C258" s="26" t="inlineStr">
        <is>
          <t>3606937379</t>
        </is>
      </c>
      <c r="D258" s="26" t="inlineStr">
        <is>
          <t>2010-01-13</t>
        </is>
      </c>
      <c r="E258" s="26" t="n">
        <v>16.5</v>
      </c>
      <c r="F258" s="26" t="n"/>
      <c r="G258" s="26" t="inlineStr">
        <is>
          <t>Watch - logged</t>
        </is>
      </c>
      <c r="H258" s="26" t="n"/>
      <c r="I258" s="20" t="n">
        <v>3</v>
      </c>
    </row>
    <row r="259" ht="15" customHeight="1" s="21">
      <c r="A259" s="26" t="inlineStr">
        <is>
          <t>All Around Mechanical Llc</t>
        </is>
      </c>
      <c r="B259" s="26" t="inlineStr">
        <is>
          <t>Ridgefield</t>
        </is>
      </c>
      <c r="C259" s="26" t="inlineStr">
        <is>
          <t>3608962829</t>
        </is>
      </c>
      <c r="D259" s="26" t="inlineStr">
        <is>
          <t>2010-01-25</t>
        </is>
      </c>
      <c r="E259" s="26" t="n">
        <v>16.4</v>
      </c>
      <c r="F259" s="26" t="n"/>
      <c r="G259" s="26" t="inlineStr">
        <is>
          <t>Skip - logged</t>
        </is>
      </c>
      <c r="H259" s="26" t="n"/>
      <c r="I259" s="20" t="n">
        <v>3</v>
      </c>
    </row>
    <row r="260" ht="15" customHeight="1" s="21">
      <c r="A260" s="26" t="inlineStr">
        <is>
          <t>All Seasons Htg/Climate Cntrl</t>
        </is>
      </c>
      <c r="B260" s="26" t="inlineStr">
        <is>
          <t>Spanaway</t>
        </is>
      </c>
      <c r="C260" s="26" t="inlineStr">
        <is>
          <t>2535652942</t>
        </is>
      </c>
      <c r="D260" s="26" t="inlineStr">
        <is>
          <t>2010-03-03</t>
        </is>
      </c>
      <c r="E260" s="26" t="n">
        <v>16.3</v>
      </c>
      <c r="F260" s="26" t="n"/>
      <c r="G260" s="26" t="inlineStr">
        <is>
          <t>Skip - logged</t>
        </is>
      </c>
      <c r="H260" s="26" t="n"/>
      <c r="I260" s="20" t="n">
        <v>3</v>
      </c>
    </row>
    <row r="261" ht="15" customHeight="1" s="21">
      <c r="A261" s="26" t="inlineStr">
        <is>
          <t>Airpros Energy Llc</t>
        </is>
      </c>
      <c r="B261" s="26" t="inlineStr">
        <is>
          <t>Everett</t>
        </is>
      </c>
      <c r="C261" s="26" t="inlineStr">
        <is>
          <t>4257733748</t>
        </is>
      </c>
      <c r="D261" s="26" t="inlineStr">
        <is>
          <t>2010-03-23</t>
        </is>
      </c>
      <c r="E261" s="26" t="n">
        <v>16.3</v>
      </c>
      <c r="F261" s="26" t="inlineStr">
        <is>
          <t>Yes</t>
        </is>
      </c>
      <c r="G261" s="26" t="n"/>
      <c r="H261" s="26" t="n"/>
      <c r="I261" s="20" t="n">
        <v>3</v>
      </c>
    </row>
    <row r="262" ht="15" customHeight="1" s="21">
      <c r="A262" s="26" t="inlineStr">
        <is>
          <t>Ocean Park Mechanical Inc</t>
        </is>
      </c>
      <c r="B262" s="26" t="inlineStr">
        <is>
          <t>Seattle</t>
        </is>
      </c>
      <c r="C262" s="26" t="inlineStr">
        <is>
          <t>2066744553</t>
        </is>
      </c>
      <c r="D262" s="26" t="inlineStr">
        <is>
          <t>2010-03-26</t>
        </is>
      </c>
      <c r="E262" s="26" t="n">
        <v>16.3</v>
      </c>
      <c r="F262" s="26" t="n"/>
      <c r="G262" s="26" t="inlineStr">
        <is>
          <t>Skip - logged (PASF plumber)</t>
        </is>
      </c>
      <c r="H262" s="26" t="n"/>
      <c r="I262" s="20" t="n">
        <v>3</v>
      </c>
    </row>
    <row r="263" ht="15" customHeight="1" s="21">
      <c r="A263" s="26" t="inlineStr">
        <is>
          <t>Mikes Mechanical</t>
        </is>
      </c>
      <c r="B263" s="26" t="inlineStr">
        <is>
          <t>Des Moines</t>
        </is>
      </c>
      <c r="C263" s="26" t="inlineStr">
        <is>
          <t>2063919839</t>
        </is>
      </c>
      <c r="D263" s="26" t="inlineStr">
        <is>
          <t>2010-04-19</t>
        </is>
      </c>
      <c r="E263" s="26" t="n">
        <v>16.2</v>
      </c>
      <c r="F263" s="26" t="n"/>
      <c r="G263" s="26" t="inlineStr">
        <is>
          <t>Hot - logged</t>
        </is>
      </c>
      <c r="H263" s="26" t="n"/>
      <c r="I263" s="20" t="n">
        <v>3</v>
      </c>
    </row>
    <row r="264" ht="15" customHeight="1" s="21">
      <c r="A264" s="26" t="inlineStr">
        <is>
          <t>Code Mechanical Inc</t>
        </is>
      </c>
      <c r="B264" s="26" t="inlineStr">
        <is>
          <t>Tacoma</t>
        </is>
      </c>
      <c r="C264" s="26" t="inlineStr">
        <is>
          <t>2533772787</t>
        </is>
      </c>
      <c r="D264" s="26" t="inlineStr">
        <is>
          <t>2010-09-13</t>
        </is>
      </c>
      <c r="E264" s="26" t="n">
        <v>15.8</v>
      </c>
      <c r="F264" s="26" t="n"/>
      <c r="G264" s="26" t="inlineStr">
        <is>
          <t>Watch - logged (PASF)</t>
        </is>
      </c>
      <c r="H264" s="26" t="n"/>
      <c r="I264" s="20" t="n">
        <v>3</v>
      </c>
    </row>
    <row r="265" ht="15" customHeight="1" s="21">
      <c r="A265" s="26" t="inlineStr">
        <is>
          <t>Azov Heating/Air Conditioning</t>
        </is>
      </c>
      <c r="B265" s="26" t="inlineStr">
        <is>
          <t>Vancouver</t>
        </is>
      </c>
      <c r="C265" s="26" t="inlineStr">
        <is>
          <t>9713229402</t>
        </is>
      </c>
      <c r="D265" s="26" t="inlineStr">
        <is>
          <t>2010-09-23</t>
        </is>
      </c>
      <c r="E265" s="26" t="n">
        <v>15.8</v>
      </c>
      <c r="F265" s="26" t="inlineStr">
        <is>
          <t>Yes</t>
        </is>
      </c>
      <c r="G265" s="26" t="n"/>
      <c r="H265" s="26" t="n"/>
      <c r="I265" s="20" t="n">
        <v>3</v>
      </c>
    </row>
    <row r="266" ht="15" customHeight="1" s="21">
      <c r="A266" s="26" t="inlineStr">
        <is>
          <t>Western Mechanical Hvac</t>
        </is>
      </c>
      <c r="B266" s="26" t="inlineStr">
        <is>
          <t>Auburn</t>
        </is>
      </c>
      <c r="C266" s="26" t="inlineStr">
        <is>
          <t>2065101719</t>
        </is>
      </c>
      <c r="D266" s="26" t="inlineStr">
        <is>
          <t>2010-10-15</t>
        </is>
      </c>
      <c r="E266" s="26" t="n">
        <v>15.7</v>
      </c>
      <c r="F266" s="26" t="n"/>
      <c r="G266" s="26" t="inlineStr">
        <is>
          <t>Hot - logged</t>
        </is>
      </c>
      <c r="H266" s="26" t="n"/>
      <c r="I266" s="20" t="n">
        <v>3</v>
      </c>
    </row>
    <row r="267" ht="15" customHeight="1" s="21">
      <c r="A267" s="26" t="inlineStr">
        <is>
          <t>Dryer Vent Solutions</t>
        </is>
      </c>
      <c r="B267" s="26" t="inlineStr">
        <is>
          <t>Renton</t>
        </is>
      </c>
      <c r="C267" s="26" t="inlineStr">
        <is>
          <t>4253985001</t>
        </is>
      </c>
      <c r="D267" s="26" t="inlineStr">
        <is>
          <t>2010-11-12</t>
        </is>
      </c>
      <c r="E267" s="26" t="n">
        <v>15.6</v>
      </c>
      <c r="F267" s="26" t="n"/>
      <c r="G267" s="26" t="inlineStr">
        <is>
          <t>Skip - logged (name pre-filter)</t>
        </is>
      </c>
      <c r="H267" s="26" t="n"/>
      <c r="I267" s="20" t="n">
        <v>3</v>
      </c>
    </row>
    <row r="268" ht="15" customHeight="1" s="21">
      <c r="A268" s="26" t="inlineStr">
        <is>
          <t>Comfort Tech Heating &amp; A/C Inc</t>
        </is>
      </c>
      <c r="B268" s="26" t="inlineStr">
        <is>
          <t>Seattle</t>
        </is>
      </c>
      <c r="C268" s="26" t="inlineStr">
        <is>
          <t>2067300556</t>
        </is>
      </c>
      <c r="D268" s="26" t="inlineStr">
        <is>
          <t>2011-02-14</t>
        </is>
      </c>
      <c r="E268" s="26" t="n">
        <v>15.4</v>
      </c>
      <c r="F268" s="26" t="n"/>
      <c r="G268" s="26" t="inlineStr">
        <is>
          <t>Hot - logged</t>
        </is>
      </c>
      <c r="H268" s="26" t="n"/>
      <c r="I268" s="20" t="n">
        <v>3</v>
      </c>
    </row>
    <row r="269" ht="15" customHeight="1" s="21">
      <c r="A269" s="26" t="inlineStr">
        <is>
          <t>Williams Mechanical Inc</t>
        </is>
      </c>
      <c r="B269" s="26" t="inlineStr">
        <is>
          <t>Everett</t>
        </is>
      </c>
      <c r="C269" s="26" t="inlineStr">
        <is>
          <t>4253030828</t>
        </is>
      </c>
      <c r="D269" s="26" t="inlineStr">
        <is>
          <t>2011-03-03</t>
        </is>
      </c>
      <c r="E269" s="26" t="n">
        <v>15.3</v>
      </c>
      <c r="F269" s="26" t="n"/>
      <c r="G269" s="26" t="inlineStr">
        <is>
          <t>Skip - logged</t>
        </is>
      </c>
      <c r="H269" s="26" t="n"/>
      <c r="I269" s="20" t="n">
        <v>3</v>
      </c>
    </row>
    <row r="270" ht="15" customHeight="1" s="21">
      <c r="A270" s="26" t="inlineStr">
        <is>
          <t>Joanis Mechanical Llc</t>
        </is>
      </c>
      <c r="B270" s="26" t="inlineStr">
        <is>
          <t>Seattle</t>
        </is>
      </c>
      <c r="C270" s="26" t="inlineStr">
        <is>
          <t>2064467927</t>
        </is>
      </c>
      <c r="D270" s="26" t="inlineStr">
        <is>
          <t>2011-03-23</t>
        </is>
      </c>
      <c r="E270" s="26" t="n">
        <v>15.3</v>
      </c>
      <c r="F270" s="26" t="n"/>
      <c r="G270" s="26" t="inlineStr">
        <is>
          <t>Skip - logged</t>
        </is>
      </c>
      <c r="H270" s="26" t="n"/>
      <c r="I270" s="20" t="n">
        <v>3</v>
      </c>
    </row>
    <row r="271" ht="15" customHeight="1" s="21">
      <c r="A271" s="26" t="inlineStr">
        <is>
          <t>Case Heating And A/C Llc</t>
        </is>
      </c>
      <c r="B271" s="26" t="inlineStr">
        <is>
          <t>Puyallup</t>
        </is>
      </c>
      <c r="C271" s="26" t="inlineStr">
        <is>
          <t>2069305501</t>
        </is>
      </c>
      <c r="D271" s="26" t="inlineStr">
        <is>
          <t>2011-06-07</t>
        </is>
      </c>
      <c r="E271" s="26" t="n">
        <v>15.1</v>
      </c>
      <c r="F271" s="26" t="n"/>
      <c r="G271" s="26" t="inlineStr">
        <is>
          <t>Watch - logged</t>
        </is>
      </c>
      <c r="H271" s="26" t="n"/>
      <c r="I271" s="20" t="n">
        <v>3</v>
      </c>
    </row>
    <row r="272" ht="15" customHeight="1" s="21">
      <c r="A272" s="26" t="inlineStr">
        <is>
          <t>Even Flo Heating And A/C</t>
        </is>
      </c>
      <c r="B272" s="26" t="inlineStr">
        <is>
          <t>Lynnwood</t>
        </is>
      </c>
      <c r="C272" s="26" t="inlineStr">
        <is>
          <t>4253810400</t>
        </is>
      </c>
      <c r="D272" s="26" t="inlineStr">
        <is>
          <t>2011-06-29</t>
        </is>
      </c>
      <c r="E272" s="26" t="n">
        <v>15</v>
      </c>
      <c r="F272" s="26" t="n"/>
      <c r="G272" s="26" t="inlineStr">
        <is>
          <t>Skip - logged (dup of Even Flo row)</t>
        </is>
      </c>
      <c r="H272" s="26" t="n"/>
      <c r="I272" s="20" t="n">
        <v>3</v>
      </c>
    </row>
    <row r="273" ht="15" customHeight="1" s="21">
      <c r="A273" s="26" t="inlineStr">
        <is>
          <t>Apollo Sheet Metal Inc</t>
        </is>
      </c>
      <c r="B273" s="26" t="inlineStr">
        <is>
          <t>Kennewick</t>
        </is>
      </c>
      <c r="C273" s="26" t="inlineStr">
        <is>
          <t>5099871491</t>
        </is>
      </c>
      <c r="D273" s="26" t="inlineStr">
        <is>
          <t>2000-04-26</t>
        </is>
      </c>
      <c r="E273" s="26" t="n">
        <v>26.2</v>
      </c>
      <c r="F273" s="26" t="n"/>
      <c r="G273" s="26" t="inlineStr">
        <is>
          <t>Skip - logged (pre-filter tail)</t>
        </is>
      </c>
      <c r="H273" s="26" t="inlineStr">
        <is>
          <t>LOW PRIORITY - name suggests category mismatch (pre-filter 2026-07-02)</t>
        </is>
      </c>
      <c r="I273" s="20" t="n">
        <v>7</v>
      </c>
    </row>
    <row r="274" ht="15" customHeight="1" s="21">
      <c r="A274" s="26" t="inlineStr">
        <is>
          <t>Complete Heating &amp; Sht Mtl Inc</t>
        </is>
      </c>
      <c r="B274" s="26" t="inlineStr">
        <is>
          <t>Spokane</t>
        </is>
      </c>
      <c r="C274" s="26" t="inlineStr">
        <is>
          <t>5095339528</t>
        </is>
      </c>
      <c r="D274" s="26" t="inlineStr">
        <is>
          <t>2000-07-05</t>
        </is>
      </c>
      <c r="E274" s="26" t="n">
        <v>26</v>
      </c>
      <c r="F274" s="26" t="n"/>
      <c r="G274" s="26" t="inlineStr">
        <is>
          <t>Skip - logged (pre-filter tail)</t>
        </is>
      </c>
      <c r="H274" s="26" t="inlineStr">
        <is>
          <t>LOW PRIORITY - name suggests category mismatch (pre-filter 2026-07-02)</t>
        </is>
      </c>
      <c r="I274" s="20" t="n">
        <v>7</v>
      </c>
    </row>
    <row r="275" ht="15" customHeight="1" s="21">
      <c r="A275" s="26" t="inlineStr">
        <is>
          <t>Atlas Boiler &amp; Equip Co Inc</t>
        </is>
      </c>
      <c r="B275" s="26" t="inlineStr">
        <is>
          <t>Spokane</t>
        </is>
      </c>
      <c r="C275" s="26" t="inlineStr">
        <is>
          <t>5095351300</t>
        </is>
      </c>
      <c r="D275" s="26" t="inlineStr">
        <is>
          <t>2000-07-31</t>
        </is>
      </c>
      <c r="E275" s="26" t="n">
        <v>25.9</v>
      </c>
      <c r="F275" s="26" t="n"/>
      <c r="G275" s="26" t="inlineStr">
        <is>
          <t>Skip - logged (pre-filter tail)</t>
        </is>
      </c>
      <c r="H275" s="26" t="inlineStr">
        <is>
          <t>LOW PRIORITY - name suggests category mismatch (pre-filter 2026-07-02)</t>
        </is>
      </c>
      <c r="I275" s="20" t="n">
        <v>7</v>
      </c>
    </row>
    <row r="276" ht="15" customHeight="1" s="21">
      <c r="A276" s="26" t="inlineStr">
        <is>
          <t>Right On Htg &amp; Sheet Metal Inc</t>
        </is>
      </c>
      <c r="B276" s="26" t="inlineStr">
        <is>
          <t>Lake Stevens</t>
        </is>
      </c>
      <c r="C276" s="26" t="inlineStr">
        <is>
          <t>4253354207</t>
        </is>
      </c>
      <c r="D276" s="26" t="inlineStr">
        <is>
          <t>2002-02-13</t>
        </is>
      </c>
      <c r="E276" s="26" t="n">
        <v>24.4</v>
      </c>
      <c r="F276" s="26" t="n"/>
      <c r="G276" s="26" t="inlineStr">
        <is>
          <t>Skip - logged (pre-filter tail)</t>
        </is>
      </c>
      <c r="H276" s="26" t="inlineStr">
        <is>
          <t>LOW PRIORITY - name suggests category mismatch (pre-filter 2026-07-02)</t>
        </is>
      </c>
      <c r="I276" s="20" t="n">
        <v>7</v>
      </c>
    </row>
    <row r="277" ht="15" customHeight="1" s="21">
      <c r="A277" s="26" t="inlineStr">
        <is>
          <t>All Valley Sheetmetal Inc</t>
        </is>
      </c>
      <c r="B277" s="26" t="inlineStr">
        <is>
          <t>Selah</t>
        </is>
      </c>
      <c r="C277" s="26" t="inlineStr">
        <is>
          <t>5092496255</t>
        </is>
      </c>
      <c r="D277" s="26" t="inlineStr">
        <is>
          <t>2003-08-27</t>
        </is>
      </c>
      <c r="E277" s="26" t="n">
        <v>22.8</v>
      </c>
      <c r="F277" s="26" t="n"/>
      <c r="G277" s="26" t="inlineStr">
        <is>
          <t>Skip - logged (pre-filter tail)</t>
        </is>
      </c>
      <c r="H277" s="26" t="inlineStr">
        <is>
          <t>LOW PRIORITY - name suggests category mismatch (pre-filter 2026-07-02)</t>
        </is>
      </c>
      <c r="I277" s="20" t="n">
        <v>7</v>
      </c>
    </row>
    <row r="278" ht="15" customHeight="1" s="21">
      <c r="A278" s="26" t="inlineStr">
        <is>
          <t>Food Service Equipment Inc</t>
        </is>
      </c>
      <c r="B278" s="26" t="inlineStr">
        <is>
          <t>Lacey</t>
        </is>
      </c>
      <c r="C278" s="26" t="inlineStr">
        <is>
          <t>3602599114</t>
        </is>
      </c>
      <c r="D278" s="26" t="inlineStr">
        <is>
          <t>2005-10-25</t>
        </is>
      </c>
      <c r="E278" s="26" t="n">
        <v>20.7</v>
      </c>
      <c r="F278" s="26" t="n"/>
      <c r="G278" s="26" t="inlineStr">
        <is>
          <t>Skip - logged (pre-filter tail)</t>
        </is>
      </c>
      <c r="H278" s="26" t="inlineStr">
        <is>
          <t>LOW PRIORITY - name suggests category mismatch (pre-filter 2026-07-02)</t>
        </is>
      </c>
      <c r="I278" s="20" t="n">
        <v>7</v>
      </c>
    </row>
    <row r="279" ht="15" customHeight="1" s="21">
      <c r="A279" s="26" t="inlineStr">
        <is>
          <t>A T S Automation Inc</t>
        </is>
      </c>
      <c r="B279" s="26" t="inlineStr">
        <is>
          <t>Renton</t>
        </is>
      </c>
      <c r="C279" s="26" t="inlineStr">
        <is>
          <t>4252519680</t>
        </is>
      </c>
      <c r="D279" s="26" t="inlineStr">
        <is>
          <t>2000-04-26</t>
        </is>
      </c>
      <c r="E279" s="26" t="n">
        <v>26.2</v>
      </c>
      <c r="F279" s="26" t="n"/>
      <c r="G279" s="26" t="inlineStr">
        <is>
          <t>Skip - logged (pre-filter tail)</t>
        </is>
      </c>
      <c r="H279" s="26" t="inlineStr">
        <is>
          <t>LOW PRIORITY - name suggests category mismatch (pre-filter 2026-07-02)</t>
        </is>
      </c>
      <c r="I279" s="20" t="n">
        <v>8</v>
      </c>
    </row>
    <row r="280" ht="15" customHeight="1" s="21">
      <c r="A280" s="26" t="inlineStr">
        <is>
          <t>Genesee Fuel &amp; Heating Co Inc</t>
        </is>
      </c>
      <c r="B280" s="26" t="inlineStr">
        <is>
          <t>Seattle</t>
        </is>
      </c>
      <c r="C280" s="26" t="inlineStr">
        <is>
          <t>2067221545</t>
        </is>
      </c>
      <c r="D280" s="26" t="inlineStr">
        <is>
          <t>2000-10-20</t>
        </is>
      </c>
      <c r="E280" s="26" t="n">
        <v>25.7</v>
      </c>
      <c r="F280" s="26" t="n"/>
      <c r="G280" s="26" t="inlineStr">
        <is>
          <t>Skip - logged (pre-filter tail)</t>
        </is>
      </c>
      <c r="H280" s="26" t="inlineStr">
        <is>
          <t>LOW PRIORITY - name suggests category mismatch (pre-filter 2026-07-02)</t>
        </is>
      </c>
      <c r="I280" s="20" t="n">
        <v>8</v>
      </c>
    </row>
    <row r="281" ht="15" customHeight="1" s="21">
      <c r="A281" s="26" t="inlineStr">
        <is>
          <t>Walsh Equipment Repair Inc</t>
        </is>
      </c>
      <c r="B281" s="26" t="inlineStr">
        <is>
          <t>Bellevue</t>
        </is>
      </c>
      <c r="C281" s="26" t="inlineStr">
        <is>
          <t>4254621645</t>
        </is>
      </c>
      <c r="D281" s="26" t="inlineStr">
        <is>
          <t>2001-12-13</t>
        </is>
      </c>
      <c r="E281" s="26" t="n">
        <v>24.6</v>
      </c>
      <c r="F281" s="26" t="n"/>
      <c r="G281" s="26" t="inlineStr">
        <is>
          <t>Skip - logged (pre-filter tail)</t>
        </is>
      </c>
      <c r="H281" s="26" t="inlineStr">
        <is>
          <t>LOW PRIORITY - name suggests category mismatch (pre-filter 2026-07-02)</t>
        </is>
      </c>
      <c r="I281" s="20" t="n">
        <v>8</v>
      </c>
    </row>
    <row r="282" ht="15" customHeight="1" s="21">
      <c r="A282" s="26" t="inlineStr">
        <is>
          <t>Precision Sheetmetal &amp; Htg Inc</t>
        </is>
      </c>
      <c r="B282" s="26" t="inlineStr">
        <is>
          <t>Vancouver</t>
        </is>
      </c>
      <c r="C282" s="26" t="inlineStr">
        <is>
          <t>5039398600</t>
        </is>
      </c>
      <c r="D282" s="26" t="inlineStr">
        <is>
          <t>2003-01-23</t>
        </is>
      </c>
      <c r="E282" s="26" t="n">
        <v>23.4</v>
      </c>
      <c r="F282" s="26" t="n"/>
      <c r="G282" s="26" t="inlineStr">
        <is>
          <t>Skip - logged (pre-filter tail)</t>
        </is>
      </c>
      <c r="H282" s="26" t="inlineStr">
        <is>
          <t>LOW PRIORITY - name suggests category mismatch (pre-filter 2026-07-02)</t>
        </is>
      </c>
      <c r="I282" s="20" t="n">
        <v>8</v>
      </c>
    </row>
    <row r="283" ht="15" customHeight="1" s="21">
      <c r="A283" s="26" t="inlineStr">
        <is>
          <t>Acco Engineered Systems Inc</t>
        </is>
      </c>
      <c r="B283" s="26" t="inlineStr">
        <is>
          <t>Seattle</t>
        </is>
      </c>
      <c r="C283" s="26" t="inlineStr">
        <is>
          <t>2067878500</t>
        </is>
      </c>
      <c r="D283" s="26" t="inlineStr">
        <is>
          <t>2003-05-16</t>
        </is>
      </c>
      <c r="E283" s="26" t="n">
        <v>23.1</v>
      </c>
      <c r="F283" s="26" t="n"/>
      <c r="G283" s="26" t="inlineStr">
        <is>
          <t>Skip - logged (pre-filter tail)</t>
        </is>
      </c>
      <c r="H283" s="26" t="inlineStr">
        <is>
          <t>LOW PRIORITY - name suggests category mismatch (pre-filter 2026-07-02)</t>
        </is>
      </c>
      <c r="I283" s="20" t="n">
        <v>8</v>
      </c>
    </row>
    <row r="284" ht="15" customHeight="1" s="21">
      <c r="A284" s="26" t="inlineStr">
        <is>
          <t>Overlake Htg Ac Sheetmetal Llc</t>
        </is>
      </c>
      <c r="B284" s="26" t="inlineStr">
        <is>
          <t>Redmond</t>
        </is>
      </c>
      <c r="C284" s="26" t="inlineStr">
        <is>
          <t>4258851224</t>
        </is>
      </c>
      <c r="D284" s="26" t="inlineStr">
        <is>
          <t>2004-05-14</t>
        </is>
      </c>
      <c r="E284" s="26" t="n">
        <v>22.1</v>
      </c>
      <c r="F284" s="26" t="n"/>
      <c r="G284" s="26" t="inlineStr">
        <is>
          <t>Skip - logged (pre-filter tail)</t>
        </is>
      </c>
      <c r="H284" s="26" t="inlineStr">
        <is>
          <t>LOW PRIORITY - name suggests category mismatch (pre-filter 2026-07-02)</t>
        </is>
      </c>
      <c r="I284" s="20" t="n">
        <v>8</v>
      </c>
    </row>
    <row r="285" ht="15" customHeight="1" s="21">
      <c r="A285" s="26" t="inlineStr">
        <is>
          <t>Commercial Filter Sales &amp; Svc</t>
        </is>
      </c>
      <c r="B285" s="26" t="inlineStr">
        <is>
          <t>Seattle</t>
        </is>
      </c>
      <c r="C285" s="26" t="inlineStr">
        <is>
          <t>2064476933</t>
        </is>
      </c>
      <c r="D285" s="26" t="inlineStr">
        <is>
          <t>2007-02-12</t>
        </is>
      </c>
      <c r="E285" s="26" t="n">
        <v>19.4</v>
      </c>
      <c r="F285" s="26" t="n"/>
      <c r="G285" s="26" t="inlineStr">
        <is>
          <t>Skip - logged (pre-filter tail)</t>
        </is>
      </c>
      <c r="H285" s="26" t="inlineStr">
        <is>
          <t>LOW PRIORITY - name suggests category mismatch (pre-filter 2026-07-02)</t>
        </is>
      </c>
      <c r="I285" s="20" t="n">
        <v>8</v>
      </c>
    </row>
    <row r="286" ht="15" customHeight="1" s="21">
      <c r="A286" s="26" t="inlineStr">
        <is>
          <t>Joon'S Appliance Service</t>
        </is>
      </c>
      <c r="B286" s="26" t="inlineStr">
        <is>
          <t>Lakewood</t>
        </is>
      </c>
      <c r="C286" s="26" t="inlineStr">
        <is>
          <t>2535352903</t>
        </is>
      </c>
      <c r="D286" s="26" t="inlineStr">
        <is>
          <t>2007-07-27</t>
        </is>
      </c>
      <c r="E286" s="26" t="n">
        <v>18.9</v>
      </c>
      <c r="F286" s="26" t="n"/>
      <c r="G286" s="26" t="inlineStr">
        <is>
          <t>Skip - logged (pre-filter tail)</t>
        </is>
      </c>
      <c r="H286" s="26" t="inlineStr">
        <is>
          <t>LOW PRIORITY - name suggests category mismatch (pre-filter 2026-07-02)</t>
        </is>
      </c>
      <c r="I286" s="20" t="n">
        <v>8</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2026-07-02T07:34:19Z</dcterms:created>
  <dcterms:modified xmlns:dcterms="http://purl.org/dc/terms/" xmlns:xsi="http://www.w3.org/2001/XMLSchema-instance" xsi:type="dcterms:W3CDTF">2026-07-14T17:30:46Z</dcterms:modified>
  <cp:revision>0</cp:revision>
</cp:coreProperties>
</file>